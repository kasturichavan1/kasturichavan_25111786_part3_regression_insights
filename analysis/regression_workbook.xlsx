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_Original_Data" sheetId="1" state="visible" r:id="rId3"/>
    <sheet name="Sheet2_Cleaned_Data" sheetId="2" state="visible" r:id="rId4"/>
    <sheet name="Sheet3_Dummy_Variables" sheetId="3" state="visible" r:id="rId5"/>
    <sheet name="Sheet4_Simple_Regression" sheetId="4" state="visible" r:id="rId6"/>
    <sheet name="Sheet5_Multiple_Regression" sheetId="5" state="visible" r:id="rId7"/>
    <sheet name="Sheet6_Predictions_Residuals" sheetId="6" state="visible" r:id="rId8"/>
    <sheet name="Sheet7_Model_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<sst xmlns="http://schemas.openxmlformats.org/spreadsheetml/2006/main" count="1426" uniqueCount="163">
  <si>
    <t xml:space="preserve">Original Dataset (do not edit — copied as-is from source file)</t>
  </si>
  <si>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</si>
  <si>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</si>
  <si>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</si>
  <si>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</si>
  <si>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</si>
  <si>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</si>
  <si>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</si>
  <si>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</si>
  <si>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</si>
  <si>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</si>
  <si>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</si>
  <si>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</si>
  <si>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</si>
  <si>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</si>
  <si>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</si>
  <si>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2025-01-01</t>
  </si>
  <si>
    <t xml:space="preserve">East</t>
  </si>
  <si>
    <t xml:space="preserve">Residential</t>
  </si>
  <si>
    <t xml:space="preserve">2025-02-01</t>
  </si>
  <si>
    <t xml:space="preserve">2025-03-01</t>
  </si>
  <si>
    <t xml:space="preserve">2025-04-01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</si>
  <si>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</si>
  <si>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</si>
  <si>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</si>
  <si>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</si>
  <si>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</si>
  <si>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</si>
  <si>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</si>
  <si>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</si>
  <si>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</si>
  <si>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</si>
  <si>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</si>
  <si>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</si>
  <si>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</si>
  <si>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</si>
  <si>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</si>
  <si>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</si>
  <si>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</si>
  <si>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</si>
  <si>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</si>
  <si>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</si>
  <si>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</si>
  <si>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</si>
  <si>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</si>
  <si>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</si>
  <si>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</si>
  <si>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</si>
  <si>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</si>
  <si>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</si>
  <si>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</si>
  <si>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</si>
  <si>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</si>
  <si>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</si>
  <si>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</si>
  <si>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</si>
  <si>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</si>
  <si>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</si>
  <si>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</si>
  <si>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</si>
  <si>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</si>
  <si>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</si>
  <si>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</si>
  <si>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</si>
  <si>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</si>
  <si>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</si>
  <si>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</si>
  <si>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</si>
  <si>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</si>
  <si>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</si>
  <si>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</si>
  <si>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</si>
  <si>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</si>
  <si>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</si>
  <si>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</si>
  <si>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</si>
  <si>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</si>
  <si>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</si>
  <si>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</si>
  <si>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</si>
  <si>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</si>
  <si>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</si>
  <si>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</si>
  <si>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</si>
  <si>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</si>
  <si>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</si>
  <si>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</si>
  <si>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</si>
  <si>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</si>
  <si>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</si>
  <si>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</si>
  <si>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</si>
  <si>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</si>
  <si>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</si>
  <si>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</si>
  <si>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</si>
  <si>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</si>
  <si>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</si>
  <si>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</si>
  <si>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</si>
  <si>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</si>
  <si>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</si>
  <si>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</si>
  <si>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</si>
  <si>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</si>
  <si>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</si>
  <si>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</si>
  <si>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Cleaned &amp; Prepared Data</t>
  </si>
  <si>
    <t xml:space="preserve">Missing values in competitor_distance_km and customer_rating were filled with the column median. staff_count, competitor_distance_km, holiday_flag, and monthly_profit are kept for reference but are not used as regression inputs (see README for reasoning).</t>
  </si>
  <si>
    <t xml:space="preserve">competitor_distance_km_clean</t>
  </si>
  <si>
    <t xml:space="preserve">customer_rating_clean</t>
  </si>
  <si>
    <t xml:space="preserve">Dummy Variable Creation</t>
  </si>
  <si>
    <t xml:space="preserve">store_type has 4 categories: Airport, High Street, Mall, Residential. High Street is used as the reference category (it is the most common store type), so it does not get its own dummy column — its effect is captured in the model intercept. Each remaining store type gets a 1/0 column: 1 if the store is that type, 0 otherwise.</t>
  </si>
  <si>
    <t xml:space="preserve">st_Airport</t>
  </si>
  <si>
    <t xml:space="preserve">st_Mall</t>
  </si>
  <si>
    <t xml:space="preserve">st_Residential</t>
  </si>
  <si>
    <t xml:space="preserve">Simple Linear Regression Models (one predictor at a time)</t>
  </si>
  <si>
    <t xml:space="preserve">Dependent variable for all models below: monthly_sales. Formulas use SLOPE, INTERCEPT, RSQ, and LINEST (for p-value via t-stat).</t>
  </si>
  <si>
    <t xml:space="preserve">Model: monthly_sales ~ marketing_spend</t>
  </si>
  <si>
    <t xml:space="preserve">Intercept (b0)</t>
  </si>
  <si>
    <t xml:space="preserve">Slope (b1)</t>
  </si>
  <si>
    <t xml:space="preserve">R-squared</t>
  </si>
  <si>
    <t xml:space="preserve">t-stat (slope)</t>
  </si>
  <si>
    <t xml:space="preserve">p-value (slope)</t>
  </si>
  <si>
    <t xml:space="preserve">n (observations)</t>
  </si>
  <si>
    <t xml:space="preserve">Model: monthly_sales ~ footfall</t>
  </si>
  <si>
    <t xml:space="preserve">Model: monthly_sales ~ avg_discount_pct</t>
  </si>
  <si>
    <t xml:space="preserve">Model: monthly_sales ~ inventory_availability_pct</t>
  </si>
  <si>
    <t xml:space="preserve">Model: monthly_sales ~ customer_rating (cleaned)</t>
  </si>
  <si>
    <t xml:space="preserve">Multiple Regression Model</t>
  </si>
  <si>
    <t xml:space="preserve">Predictors: marketing_spend, footfall, avg_discount_pct, inventory_availability_pct (numeric) plus st_Airport, st_Mall, st_Residential (dummy variables, reference = High Street). LINEST returns coefficients in reverse column order (last predictor first), handled below.</t>
  </si>
  <si>
    <t xml:space="preserve">Predictor block (X range used by LINEST)</t>
  </si>
  <si>
    <t xml:space="preserve">Multiple Regression Results (via LINEST)</t>
  </si>
  <si>
    <t xml:space="preserve">Variable</t>
  </si>
  <si>
    <t xml:space="preserve">Coefficient</t>
  </si>
  <si>
    <t xml:space="preserve">Std Error</t>
  </si>
  <si>
    <t xml:space="preserve">t-stat</t>
  </si>
  <si>
    <t xml:space="preserve">p-value</t>
  </si>
  <si>
    <t xml:space="preserve">Intercept</t>
  </si>
  <si>
    <t xml:space="preserve">F-statistic</t>
  </si>
  <si>
    <t xml:space="preserve">Predicted Sales and Residuals (final model = Multiple Regression)</t>
  </si>
  <si>
    <t xml:space="preserve">predicted_sales uses the coefficients from sheet 5_Multiple_Regression. residual = actual sales minus predicted sales.</t>
  </si>
  <si>
    <t xml:space="preserve">actual_sales</t>
  </si>
  <si>
    <t xml:space="preserve">predicted_sales</t>
  </si>
  <si>
    <t xml:space="preserve">residual</t>
  </si>
  <si>
    <t xml:space="preserve">Top 5 Largest Positive Residuals (model under-predicts)</t>
  </si>
  <si>
    <t xml:space="preserve">Rank</t>
  </si>
  <si>
    <t xml:space="preserve">Top 5 Largest Negative Residuals (model over-predicts)</t>
  </si>
  <si>
    <t xml:space="preserve">Model Comparison Summary</t>
  </si>
  <si>
    <t xml:space="preserve">Model</t>
  </si>
  <si>
    <t xml:space="preserve">Independent Variable(s)</t>
  </si>
  <si>
    <t xml:space="preserve">Key p-value(s)</t>
  </si>
  <si>
    <t xml:space="preserve">Significant?</t>
  </si>
  <si>
    <t xml:space="preserve">Simple: monthly_sales ~ marketing_spend</t>
  </si>
  <si>
    <t xml:space="preserve">Simple: monthly_sales ~ footfall</t>
  </si>
  <si>
    <t xml:space="preserve">Simple: monthly_sales ~ avg_discount_pct</t>
  </si>
  <si>
    <t xml:space="preserve">Simple: monthly_sales ~ inventory_availability_pct</t>
  </si>
  <si>
    <t xml:space="preserve">Simple: monthly_sales ~ customer_rating (cleaned)</t>
  </si>
  <si>
    <t xml:space="preserve">customer_rating (cleaned)</t>
  </si>
  <si>
    <t xml:space="preserve">Multiple Regression (final model)</t>
  </si>
  <si>
    <t xml:space="preserve">marketing_spend, footfall, avg_discount_pct, inventory_availability_pct, store_type dummies</t>
  </si>
  <si>
    <t xml:space="preserve">See sheet 5 for individual p-values</t>
  </si>
  <si>
    <t xml:space="preserve">Mostly yes (footfall, marketing_spend, inventory_availability_pct, st_Residential)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</si>
</sst>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0" min="10" style="1" width="20"/>
    <col collapsed="false" customWidth="true" hidden="false" outlineLevel="0" max="11" min="11" style="1" width="11"/>
    <col collapsed="false" customWidth="true" hidden="false" outlineLevel="0" max="14" min="12" style="1" width="14"/>
  </cols>
  <sheetData>
    <row r="1" customFormat="false" ht="16.15" hidden="false" customHeight="false" outlineLevel="0" collapsed="false">
      <c r="A1" s="2" t="s">
        <v>0</v>
      </c>
    </row>
    <row r="3" customFormat="false" ht="23.8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n">
        <v>70389.11</v>
      </c>
      <c r="F4" s="4" t="n">
        <v>8302</v>
      </c>
      <c r="G4" s="4" t="n">
        <v>0.042</v>
      </c>
      <c r="H4" s="4" t="n">
        <v>17</v>
      </c>
      <c r="I4" s="4" t="n">
        <v>75</v>
      </c>
      <c r="J4" s="4" t="n">
        <v>5.28</v>
      </c>
      <c r="K4" s="4" t="n">
        <v>1</v>
      </c>
      <c r="L4" s="4" t="n">
        <v>3.1</v>
      </c>
      <c r="M4" s="4" t="n">
        <v>658832.62</v>
      </c>
      <c r="N4" s="4" t="n">
        <v>84349.93</v>
      </c>
    </row>
    <row r="5" customFormat="false" ht="15" hidden="false" customHeight="false" outlineLevel="0" collapsed="false">
      <c r="A5" s="4" t="s">
        <v>15</v>
      </c>
      <c r="B5" s="4" t="s">
        <v>19</v>
      </c>
      <c r="C5" s="4" t="s">
        <v>17</v>
      </c>
      <c r="D5" s="4" t="s">
        <v>18</v>
      </c>
      <c r="E5" s="4" t="n">
        <v>43827.89</v>
      </c>
      <c r="F5" s="4" t="n">
        <v>8487</v>
      </c>
      <c r="G5" s="4" t="n">
        <v>0.168</v>
      </c>
      <c r="H5" s="4" t="n">
        <v>23</v>
      </c>
      <c r="I5" s="4" t="n">
        <v>84.4</v>
      </c>
      <c r="J5" s="4" t="n">
        <v>4.31</v>
      </c>
      <c r="K5" s="4" t="n">
        <v>0</v>
      </c>
      <c r="L5" s="4" t="n">
        <v>2.8</v>
      </c>
      <c r="M5" s="4" t="n">
        <v>634436</v>
      </c>
      <c r="N5" s="4" t="n">
        <v>106130.54</v>
      </c>
    </row>
    <row r="6" customFormat="false" ht="15" hidden="false" customHeight="false" outlineLevel="0" collapsed="false">
      <c r="A6" s="4" t="s">
        <v>15</v>
      </c>
      <c r="B6" s="4" t="s">
        <v>20</v>
      </c>
      <c r="C6" s="4" t="s">
        <v>17</v>
      </c>
      <c r="D6" s="4" t="s">
        <v>18</v>
      </c>
      <c r="E6" s="4" t="n">
        <v>59921.75</v>
      </c>
      <c r="F6" s="4" t="n">
        <v>9113</v>
      </c>
      <c r="G6" s="4" t="n">
        <v>0.133</v>
      </c>
      <c r="H6" s="4" t="n">
        <v>20</v>
      </c>
      <c r="I6" s="4" t="n">
        <v>88</v>
      </c>
      <c r="J6" s="4" t="n">
        <v>12</v>
      </c>
      <c r="K6" s="4" t="n">
        <v>0</v>
      </c>
      <c r="L6" s="4" t="n">
        <v>3.2</v>
      </c>
      <c r="M6" s="4" t="n">
        <v>678722.06</v>
      </c>
      <c r="N6" s="4" t="n">
        <v>101883.86</v>
      </c>
    </row>
    <row r="7" customFormat="false" ht="15" hidden="false" customHeight="false" outlineLevel="0" collapsed="false">
      <c r="A7" s="4" t="s">
        <v>15</v>
      </c>
      <c r="B7" s="4" t="s">
        <v>21</v>
      </c>
      <c r="C7" s="4" t="s">
        <v>17</v>
      </c>
      <c r="D7" s="4" t="s">
        <v>18</v>
      </c>
      <c r="E7" s="4" t="n">
        <v>56856.63</v>
      </c>
      <c r="F7" s="4" t="n">
        <v>9431</v>
      </c>
      <c r="G7" s="4" t="n">
        <v>0.142</v>
      </c>
      <c r="H7" s="4" t="n">
        <v>23</v>
      </c>
      <c r="I7" s="4" t="n">
        <v>86.9</v>
      </c>
      <c r="J7" s="4" t="n">
        <v>4.97</v>
      </c>
      <c r="K7" s="4" t="n">
        <v>0</v>
      </c>
      <c r="L7" s="4" t="n">
        <v>3.4</v>
      </c>
      <c r="M7" s="4" t="n">
        <v>658920.3</v>
      </c>
      <c r="N7" s="4" t="n">
        <v>97910.37</v>
      </c>
    </row>
    <row r="8" customFormat="false" ht="15" hidden="false" customHeight="false" outlineLevel="0" collapsed="false">
      <c r="A8" s="4" t="s">
        <v>22</v>
      </c>
      <c r="B8" s="4" t="s">
        <v>16</v>
      </c>
      <c r="C8" s="4" t="s">
        <v>17</v>
      </c>
      <c r="D8" s="4" t="s">
        <v>23</v>
      </c>
      <c r="E8" s="4" t="n">
        <v>48412.64</v>
      </c>
      <c r="F8" s="4" t="n">
        <v>9545</v>
      </c>
      <c r="G8" s="4" t="n">
        <v>0.231</v>
      </c>
      <c r="H8" s="4" t="n">
        <v>21</v>
      </c>
      <c r="I8" s="4" t="n">
        <v>97.6</v>
      </c>
      <c r="J8" s="4" t="n">
        <v>6.94</v>
      </c>
      <c r="K8" s="4" t="n">
        <v>1</v>
      </c>
      <c r="L8" s="4" t="n">
        <v>4.2</v>
      </c>
      <c r="M8" s="4" t="n">
        <v>741341.44</v>
      </c>
      <c r="N8" s="4" t="n">
        <v>119208.17</v>
      </c>
    </row>
    <row r="9" customFormat="false" ht="15" hidden="false" customHeight="false" outlineLevel="0" collapsed="false">
      <c r="A9" s="4" t="s">
        <v>22</v>
      </c>
      <c r="B9" s="4" t="s">
        <v>19</v>
      </c>
      <c r="C9" s="4" t="s">
        <v>17</v>
      </c>
      <c r="D9" s="4" t="s">
        <v>23</v>
      </c>
      <c r="E9" s="4" t="n">
        <v>64811.21</v>
      </c>
      <c r="F9" s="4" t="n">
        <v>9792</v>
      </c>
      <c r="G9" s="4" t="n">
        <v>0.112</v>
      </c>
      <c r="H9" s="4" t="n">
        <v>20</v>
      </c>
      <c r="I9" s="4" t="n">
        <v>84.2</v>
      </c>
      <c r="J9" s="4" t="n">
        <v>2.88</v>
      </c>
      <c r="K9" s="4" t="n">
        <v>0</v>
      </c>
      <c r="L9" s="4" t="n">
        <v>4.2</v>
      </c>
      <c r="M9" s="4" t="n">
        <v>761835.34</v>
      </c>
      <c r="N9" s="4" t="n">
        <v>149602.23</v>
      </c>
    </row>
    <row r="10" customFormat="false" ht="15" hidden="false" customHeight="false" outlineLevel="0" collapsed="false">
      <c r="A10" s="4" t="s">
        <v>22</v>
      </c>
      <c r="B10" s="4" t="s">
        <v>20</v>
      </c>
      <c r="C10" s="4" t="s">
        <v>17</v>
      </c>
      <c r="D10" s="4" t="s">
        <v>23</v>
      </c>
      <c r="E10" s="4" t="n">
        <v>46213.45</v>
      </c>
      <c r="F10" s="4" t="n">
        <v>10616</v>
      </c>
      <c r="G10" s="4" t="n">
        <v>0.122</v>
      </c>
      <c r="H10" s="4" t="n">
        <v>22</v>
      </c>
      <c r="I10" s="4" t="n">
        <v>85.2</v>
      </c>
      <c r="J10" s="4" t="n">
        <v>0.2</v>
      </c>
      <c r="K10" s="4" t="n">
        <v>1</v>
      </c>
      <c r="L10" s="4" t="n">
        <v>4.1</v>
      </c>
      <c r="M10" s="4" t="n">
        <v>806615.54</v>
      </c>
      <c r="N10" s="4" t="n">
        <v>131364.62</v>
      </c>
    </row>
    <row r="11" customFormat="false" ht="15" hidden="false" customHeight="false" outlineLevel="0" collapsed="false">
      <c r="A11" s="4" t="s">
        <v>22</v>
      </c>
      <c r="B11" s="4" t="s">
        <v>21</v>
      </c>
      <c r="C11" s="4" t="s">
        <v>17</v>
      </c>
      <c r="D11" s="4" t="s">
        <v>23</v>
      </c>
      <c r="E11" s="4" t="n">
        <v>68148.52</v>
      </c>
      <c r="F11" s="4" t="n">
        <v>8567</v>
      </c>
      <c r="G11" s="4" t="n">
        <v>0.127</v>
      </c>
      <c r="H11" s="4" t="n">
        <v>23</v>
      </c>
      <c r="I11" s="4" t="n">
        <v>95.6</v>
      </c>
      <c r="J11" s="4" t="n">
        <v>0.8</v>
      </c>
      <c r="K11" s="4" t="n">
        <v>0</v>
      </c>
      <c r="L11" s="4" t="n">
        <v>3.9</v>
      </c>
      <c r="M11" s="4" t="n">
        <v>850164.26</v>
      </c>
      <c r="N11" s="4" t="n">
        <v>149262.75</v>
      </c>
    </row>
    <row r="12" customFormat="false" ht="15" hidden="false" customHeight="false" outlineLevel="0" collapsed="false">
      <c r="A12" s="4" t="s">
        <v>24</v>
      </c>
      <c r="B12" s="4" t="s">
        <v>16</v>
      </c>
      <c r="C12" s="4" t="s">
        <v>25</v>
      </c>
      <c r="D12" s="4" t="s">
        <v>26</v>
      </c>
      <c r="E12" s="4" t="n">
        <v>71838.86</v>
      </c>
      <c r="F12" s="4" t="n">
        <v>10979</v>
      </c>
      <c r="G12" s="4" t="n">
        <v>0.215</v>
      </c>
      <c r="H12" s="4" t="n">
        <v>26</v>
      </c>
      <c r="I12" s="4" t="n">
        <v>88.6</v>
      </c>
      <c r="J12" s="4" t="n">
        <v>7.7</v>
      </c>
      <c r="K12" s="4" t="n">
        <v>1</v>
      </c>
      <c r="L12" s="4" t="n">
        <v>3.8</v>
      </c>
      <c r="M12" s="4" t="n">
        <v>930581.7</v>
      </c>
      <c r="N12" s="4" t="n">
        <v>136207.98</v>
      </c>
    </row>
    <row r="13" customFormat="false" ht="15" hidden="false" customHeight="false" outlineLevel="0" collapsed="false">
      <c r="A13" s="4" t="s">
        <v>24</v>
      </c>
      <c r="B13" s="4" t="s">
        <v>19</v>
      </c>
      <c r="C13" s="4" t="s">
        <v>25</v>
      </c>
      <c r="D13" s="4" t="s">
        <v>26</v>
      </c>
      <c r="E13" s="4" t="n">
        <v>68133.44</v>
      </c>
      <c r="F13" s="4" t="n">
        <v>9459</v>
      </c>
      <c r="G13" s="4" t="n">
        <v>0.22</v>
      </c>
      <c r="H13" s="4" t="n">
        <v>21</v>
      </c>
      <c r="I13" s="4" t="n">
        <v>85</v>
      </c>
      <c r="J13" s="4" t="n">
        <v>1.91</v>
      </c>
      <c r="K13" s="4" t="n">
        <v>0</v>
      </c>
      <c r="L13" s="4" t="n">
        <v>4.2</v>
      </c>
      <c r="M13" s="4" t="n">
        <v>779010.94</v>
      </c>
      <c r="N13" s="4" t="n">
        <v>106328.09</v>
      </c>
    </row>
    <row r="14" customFormat="false" ht="15" hidden="false" customHeight="false" outlineLevel="0" collapsed="false">
      <c r="A14" s="4" t="s">
        <v>24</v>
      </c>
      <c r="B14" s="4" t="s">
        <v>20</v>
      </c>
      <c r="C14" s="4" t="s">
        <v>25</v>
      </c>
      <c r="D14" s="4" t="s">
        <v>26</v>
      </c>
      <c r="E14" s="4" t="n">
        <v>34285.21</v>
      </c>
      <c r="F14" s="4" t="n">
        <v>9172</v>
      </c>
      <c r="G14" s="4" t="n">
        <v>0.213</v>
      </c>
      <c r="H14" s="4" t="n">
        <v>22</v>
      </c>
      <c r="I14" s="4" t="n">
        <v>88.3</v>
      </c>
      <c r="J14" s="4" t="n">
        <v>10.46</v>
      </c>
      <c r="K14" s="4" t="n">
        <v>1</v>
      </c>
      <c r="L14" s="4" t="n">
        <v>3.8</v>
      </c>
      <c r="M14" s="4" t="n">
        <v>723060.76</v>
      </c>
      <c r="N14" s="4" t="n">
        <v>123131.24</v>
      </c>
    </row>
    <row r="15" customFormat="false" ht="15" hidden="false" customHeight="false" outlineLevel="0" collapsed="false">
      <c r="A15" s="4" t="s">
        <v>24</v>
      </c>
      <c r="B15" s="4" t="s">
        <v>21</v>
      </c>
      <c r="C15" s="4" t="s">
        <v>25</v>
      </c>
      <c r="D15" s="4" t="s">
        <v>26</v>
      </c>
      <c r="E15" s="4" t="n">
        <v>67979.88</v>
      </c>
      <c r="F15" s="4" t="n">
        <v>11230</v>
      </c>
      <c r="G15" s="4" t="n">
        <v>0.002</v>
      </c>
      <c r="H15" s="4" t="n">
        <v>28</v>
      </c>
      <c r="I15" s="4" t="n">
        <v>85.3</v>
      </c>
      <c r="J15" s="4" t="n">
        <v>7.16</v>
      </c>
      <c r="K15" s="4" t="n">
        <v>0</v>
      </c>
      <c r="L15" s="4" t="n">
        <v>3.8</v>
      </c>
      <c r="M15" s="4" t="n">
        <v>910791.94</v>
      </c>
      <c r="N15" s="4" t="n">
        <v>158891.28</v>
      </c>
    </row>
    <row r="16" customFormat="false" ht="15" hidden="false" customHeight="false" outlineLevel="0" collapsed="false">
      <c r="A16" s="4" t="s">
        <v>27</v>
      </c>
      <c r="B16" s="4" t="s">
        <v>16</v>
      </c>
      <c r="C16" s="4" t="s">
        <v>17</v>
      </c>
      <c r="D16" s="4" t="s">
        <v>18</v>
      </c>
      <c r="E16" s="4" t="n">
        <v>71828.26</v>
      </c>
      <c r="F16" s="4" t="n">
        <v>12775</v>
      </c>
      <c r="G16" s="4" t="n">
        <v>0.116</v>
      </c>
      <c r="H16" s="4" t="n">
        <v>30</v>
      </c>
      <c r="I16" s="4" t="n">
        <v>81.7</v>
      </c>
      <c r="J16" s="4" t="n">
        <v>4.24</v>
      </c>
      <c r="K16" s="4" t="n">
        <v>1</v>
      </c>
      <c r="L16" s="4" t="n">
        <v>4.2</v>
      </c>
      <c r="M16" s="4" t="n">
        <v>922168.6</v>
      </c>
      <c r="N16" s="4" t="n">
        <v>107494.53</v>
      </c>
    </row>
    <row r="17" customFormat="false" ht="15" hidden="false" customHeight="false" outlineLevel="0" collapsed="false">
      <c r="A17" s="4" t="s">
        <v>27</v>
      </c>
      <c r="B17" s="4" t="s">
        <v>19</v>
      </c>
      <c r="C17" s="4" t="s">
        <v>17</v>
      </c>
      <c r="D17" s="4" t="s">
        <v>18</v>
      </c>
      <c r="E17" s="4" t="n">
        <v>55716.82</v>
      </c>
      <c r="F17" s="4" t="n">
        <v>10054</v>
      </c>
      <c r="G17" s="4" t="n">
        <v>0.146</v>
      </c>
      <c r="H17" s="4" t="n">
        <v>24</v>
      </c>
      <c r="I17" s="4" t="n">
        <v>84.9</v>
      </c>
      <c r="J17" s="4" t="n">
        <v>1.06</v>
      </c>
      <c r="K17" s="4" t="n">
        <v>0</v>
      </c>
      <c r="L17" s="4" t="n">
        <v>4.3</v>
      </c>
      <c r="M17" s="4" t="n">
        <v>726606.28</v>
      </c>
      <c r="N17" s="4" t="n">
        <v>122729.29</v>
      </c>
    </row>
    <row r="18" customFormat="false" ht="15" hidden="false" customHeight="false" outlineLevel="0" collapsed="false">
      <c r="A18" s="4" t="s">
        <v>27</v>
      </c>
      <c r="B18" s="4" t="s">
        <v>20</v>
      </c>
      <c r="C18" s="4" t="s">
        <v>17</v>
      </c>
      <c r="D18" s="4" t="s">
        <v>18</v>
      </c>
      <c r="E18" s="4" t="n">
        <v>59909.51</v>
      </c>
      <c r="F18" s="4" t="n">
        <v>8895</v>
      </c>
      <c r="G18" s="4" t="n">
        <v>0.228</v>
      </c>
      <c r="H18" s="4" t="n">
        <v>23</v>
      </c>
      <c r="I18" s="4" t="n">
        <v>88.8</v>
      </c>
      <c r="J18" s="4" t="n">
        <v>0.27</v>
      </c>
      <c r="K18" s="4" t="n">
        <v>0</v>
      </c>
      <c r="L18" s="4" t="n">
        <v>4.3</v>
      </c>
      <c r="M18" s="4" t="n">
        <v>746501.09</v>
      </c>
      <c r="N18" s="4" t="n">
        <v>136816.72</v>
      </c>
    </row>
    <row r="19" customFormat="false" ht="15" hidden="false" customHeight="false" outlineLevel="0" collapsed="false">
      <c r="A19" s="4" t="s">
        <v>27</v>
      </c>
      <c r="B19" s="4" t="s">
        <v>21</v>
      </c>
      <c r="C19" s="4" t="s">
        <v>17</v>
      </c>
      <c r="D19" s="4" t="s">
        <v>18</v>
      </c>
      <c r="E19" s="4" t="n">
        <v>75305.71</v>
      </c>
      <c r="F19" s="4" t="n">
        <v>10940</v>
      </c>
      <c r="G19" s="4" t="n">
        <v>0.006</v>
      </c>
      <c r="H19" s="4" t="n">
        <v>26</v>
      </c>
      <c r="I19" s="4" t="n">
        <v>76.5</v>
      </c>
      <c r="J19" s="4" t="n">
        <v>1.32</v>
      </c>
      <c r="K19" s="4" t="n">
        <v>0</v>
      </c>
      <c r="L19" s="4" t="n">
        <v>4.5</v>
      </c>
      <c r="M19" s="4" t="n">
        <v>834017.02</v>
      </c>
      <c r="N19" s="4" t="n">
        <v>114745.03</v>
      </c>
    </row>
    <row r="20" customFormat="false" ht="15" hidden="false" customHeight="false" outlineLevel="0" collapsed="false">
      <c r="A20" s="4" t="s">
        <v>28</v>
      </c>
      <c r="B20" s="4" t="s">
        <v>16</v>
      </c>
      <c r="C20" s="4" t="s">
        <v>29</v>
      </c>
      <c r="D20" s="4" t="s">
        <v>18</v>
      </c>
      <c r="E20" s="4" t="n">
        <v>48804.22</v>
      </c>
      <c r="F20" s="4" t="n">
        <v>7057</v>
      </c>
      <c r="G20" s="4" t="n">
        <v>0.005</v>
      </c>
      <c r="H20" s="4" t="n">
        <v>15</v>
      </c>
      <c r="I20" s="4" t="n">
        <v>87.7</v>
      </c>
      <c r="J20" s="4" t="n">
        <v>1.22</v>
      </c>
      <c r="K20" s="4" t="n">
        <v>0</v>
      </c>
      <c r="L20" s="4" t="n">
        <v>3.7</v>
      </c>
      <c r="M20" s="4" t="n">
        <v>666152.52</v>
      </c>
      <c r="N20" s="4" t="n">
        <v>107490.58</v>
      </c>
    </row>
    <row r="21" customFormat="false" ht="15" hidden="false" customHeight="false" outlineLevel="0" collapsed="false">
      <c r="A21" s="4" t="s">
        <v>28</v>
      </c>
      <c r="B21" s="4" t="s">
        <v>19</v>
      </c>
      <c r="C21" s="4" t="s">
        <v>29</v>
      </c>
      <c r="D21" s="4" t="s">
        <v>18</v>
      </c>
      <c r="E21" s="4" t="n">
        <v>59117.9</v>
      </c>
      <c r="F21" s="4" t="n">
        <v>4263</v>
      </c>
      <c r="G21" s="4" t="n">
        <v>0.119</v>
      </c>
      <c r="H21" s="4" t="n">
        <v>9</v>
      </c>
      <c r="I21" s="4" t="n">
        <v>87.6</v>
      </c>
      <c r="J21" s="4" t="n">
        <v>4.01</v>
      </c>
      <c r="K21" s="4" t="n">
        <v>0</v>
      </c>
      <c r="L21" s="4" t="n">
        <v>3.6</v>
      </c>
      <c r="M21" s="4" t="n">
        <v>573155.19</v>
      </c>
      <c r="N21" s="4" t="n">
        <v>83680.75</v>
      </c>
    </row>
    <row r="22" customFormat="false" ht="15" hidden="false" customHeight="false" outlineLevel="0" collapsed="false">
      <c r="A22" s="4" t="s">
        <v>28</v>
      </c>
      <c r="B22" s="4" t="s">
        <v>20</v>
      </c>
      <c r="C22" s="4" t="s">
        <v>29</v>
      </c>
      <c r="D22" s="4" t="s">
        <v>18</v>
      </c>
      <c r="E22" s="4" t="n">
        <v>78831.12</v>
      </c>
      <c r="F22" s="4" t="n">
        <v>5538</v>
      </c>
      <c r="G22" s="4" t="n">
        <v>0</v>
      </c>
      <c r="H22" s="4" t="n">
        <v>15</v>
      </c>
      <c r="I22" s="4" t="n">
        <v>94.1</v>
      </c>
      <c r="J22" s="4" t="n">
        <v>0.2</v>
      </c>
      <c r="K22" s="4" t="n">
        <v>0</v>
      </c>
      <c r="L22" s="4" t="n">
        <v>3.9</v>
      </c>
      <c r="M22" s="4" t="n">
        <v>666573.2</v>
      </c>
      <c r="N22" s="4" t="n">
        <v>140641.02</v>
      </c>
    </row>
    <row r="23" customFormat="false" ht="15" hidden="false" customHeight="false" outlineLevel="0" collapsed="false">
      <c r="A23" s="4" t="s">
        <v>28</v>
      </c>
      <c r="B23" s="4" t="s">
        <v>21</v>
      </c>
      <c r="C23" s="4" t="s">
        <v>29</v>
      </c>
      <c r="D23" s="4" t="s">
        <v>18</v>
      </c>
      <c r="E23" s="4" t="n">
        <v>41441.93</v>
      </c>
      <c r="F23" s="4" t="n">
        <v>4865</v>
      </c>
      <c r="G23" s="4" t="n">
        <v>0.158</v>
      </c>
      <c r="H23" s="4" t="n">
        <v>16</v>
      </c>
      <c r="I23" s="4" t="n">
        <v>88.3</v>
      </c>
      <c r="J23" s="4" t="n">
        <v>0.5</v>
      </c>
      <c r="K23" s="4" t="n">
        <v>0</v>
      </c>
      <c r="L23" s="4" t="n">
        <v>4</v>
      </c>
      <c r="M23" s="4" t="n">
        <v>591619.95</v>
      </c>
      <c r="N23" s="4" t="n">
        <v>99521.35</v>
      </c>
    </row>
    <row r="24" customFormat="false" ht="15" hidden="false" customHeight="false" outlineLevel="0" collapsed="false">
      <c r="A24" s="4" t="s">
        <v>30</v>
      </c>
      <c r="B24" s="4" t="s">
        <v>16</v>
      </c>
      <c r="C24" s="4" t="s">
        <v>25</v>
      </c>
      <c r="D24" s="4" t="s">
        <v>18</v>
      </c>
      <c r="E24" s="4" t="n">
        <v>30356.28</v>
      </c>
      <c r="F24" s="4" t="n">
        <v>2822</v>
      </c>
      <c r="G24" s="4" t="n">
        <v>0.231</v>
      </c>
      <c r="H24" s="4" t="n">
        <v>9</v>
      </c>
      <c r="I24" s="4" t="n">
        <v>84.8</v>
      </c>
      <c r="J24" s="4" t="n">
        <v>6.95</v>
      </c>
      <c r="K24" s="4" t="n">
        <v>0</v>
      </c>
      <c r="L24" s="4" t="n">
        <v>5</v>
      </c>
      <c r="M24" s="4" t="n">
        <v>415721.82</v>
      </c>
      <c r="N24" s="4" t="n">
        <v>61179.15</v>
      </c>
    </row>
    <row r="25" customFormat="false" ht="15" hidden="false" customHeight="false" outlineLevel="0" collapsed="false">
      <c r="A25" s="4" t="s">
        <v>30</v>
      </c>
      <c r="B25" s="4" t="s">
        <v>19</v>
      </c>
      <c r="C25" s="4" t="s">
        <v>25</v>
      </c>
      <c r="D25" s="4" t="s">
        <v>18</v>
      </c>
      <c r="E25" s="4" t="n">
        <v>33518.88</v>
      </c>
      <c r="F25" s="4" t="n">
        <v>2121</v>
      </c>
      <c r="G25" s="4" t="n">
        <v>0.176</v>
      </c>
      <c r="H25" s="4" t="n">
        <v>8</v>
      </c>
      <c r="I25" s="4" t="n">
        <v>88.5</v>
      </c>
      <c r="J25" s="4" t="n">
        <v>0.2</v>
      </c>
      <c r="K25" s="4" t="n">
        <v>0</v>
      </c>
      <c r="L25" s="4" t="n">
        <v>5</v>
      </c>
      <c r="M25" s="4" t="n">
        <v>491905.13</v>
      </c>
      <c r="N25" s="4" t="n">
        <v>79212.26</v>
      </c>
    </row>
    <row r="26" customFormat="false" ht="15" hidden="false" customHeight="false" outlineLevel="0" collapsed="false">
      <c r="A26" s="4" t="s">
        <v>30</v>
      </c>
      <c r="B26" s="4" t="s">
        <v>20</v>
      </c>
      <c r="C26" s="4" t="s">
        <v>25</v>
      </c>
      <c r="D26" s="4" t="s">
        <v>18</v>
      </c>
      <c r="E26" s="4" t="n">
        <v>42267.37</v>
      </c>
      <c r="F26" s="4" t="n">
        <v>3364</v>
      </c>
      <c r="G26" s="4" t="n">
        <v>0.16</v>
      </c>
      <c r="H26" s="4" t="n">
        <v>13</v>
      </c>
      <c r="I26" s="4" t="n">
        <v>82</v>
      </c>
      <c r="J26" s="4" t="n">
        <v>1.61</v>
      </c>
      <c r="K26" s="4" t="n">
        <v>1</v>
      </c>
      <c r="L26" s="4" t="n">
        <v>4.6</v>
      </c>
      <c r="M26" s="4" t="n">
        <v>555929.4</v>
      </c>
      <c r="N26" s="4" t="n">
        <v>115201.76</v>
      </c>
    </row>
    <row r="27" customFormat="false" ht="15" hidden="false" customHeight="false" outlineLevel="0" collapsed="false">
      <c r="A27" s="4" t="s">
        <v>30</v>
      </c>
      <c r="B27" s="4" t="s">
        <v>21</v>
      </c>
      <c r="C27" s="4" t="s">
        <v>25</v>
      </c>
      <c r="D27" s="4" t="s">
        <v>18</v>
      </c>
      <c r="E27" s="4" t="n">
        <v>62060.43</v>
      </c>
      <c r="F27" s="4" t="n">
        <v>2613</v>
      </c>
      <c r="G27" s="4" t="n">
        <v>0.216</v>
      </c>
      <c r="H27" s="4" t="n">
        <v>12</v>
      </c>
      <c r="I27" s="4" t="n">
        <v>92.1</v>
      </c>
      <c r="J27" s="4" t="n">
        <v>1.55</v>
      </c>
      <c r="K27" s="4" t="n">
        <v>0</v>
      </c>
      <c r="L27" s="4" t="n">
        <v>4.7</v>
      </c>
      <c r="M27" s="4" t="n">
        <v>565810.99</v>
      </c>
      <c r="N27" s="4" t="n">
        <v>77825.46</v>
      </c>
    </row>
    <row r="28" customFormat="false" ht="15" hidden="false" customHeight="false" outlineLevel="0" collapsed="false">
      <c r="A28" s="4" t="s">
        <v>31</v>
      </c>
      <c r="B28" s="4" t="s">
        <v>16</v>
      </c>
      <c r="C28" s="4" t="s">
        <v>32</v>
      </c>
      <c r="D28" s="4" t="s">
        <v>33</v>
      </c>
      <c r="E28" s="4" t="n">
        <v>57696.69</v>
      </c>
      <c r="F28" s="4" t="n">
        <v>10218</v>
      </c>
      <c r="G28" s="4" t="n">
        <v>0.121</v>
      </c>
      <c r="H28" s="4" t="n">
        <v>25</v>
      </c>
      <c r="I28" s="4" t="n">
        <v>94.8</v>
      </c>
      <c r="J28" s="4" t="n">
        <v>2.99</v>
      </c>
      <c r="K28" s="4" t="n">
        <v>0</v>
      </c>
      <c r="L28" s="4" t="n">
        <v>3.5</v>
      </c>
      <c r="M28" s="4" t="n">
        <v>811771.14</v>
      </c>
      <c r="N28" s="4" t="n">
        <v>148756.24</v>
      </c>
    </row>
    <row r="29" customFormat="false" ht="15" hidden="false" customHeight="false" outlineLevel="0" collapsed="false">
      <c r="A29" s="4" t="s">
        <v>31</v>
      </c>
      <c r="B29" s="4" t="s">
        <v>19</v>
      </c>
      <c r="C29" s="4" t="s">
        <v>32</v>
      </c>
      <c r="D29" s="4" t="s">
        <v>33</v>
      </c>
      <c r="E29" s="4" t="n">
        <v>172415.52</v>
      </c>
      <c r="F29" s="4" t="n">
        <v>8927</v>
      </c>
      <c r="G29" s="4" t="n">
        <v>0.14</v>
      </c>
      <c r="H29" s="4" t="n">
        <v>22</v>
      </c>
      <c r="I29" s="4" t="n">
        <v>86.2</v>
      </c>
      <c r="J29" s="4" t="n">
        <v>7.04</v>
      </c>
      <c r="K29" s="4" t="n">
        <v>0</v>
      </c>
      <c r="L29" s="4" t="n">
        <v>3.9</v>
      </c>
      <c r="M29" s="4" t="n">
        <v>800451.94</v>
      </c>
      <c r="N29" s="4" t="n">
        <v>111572.29</v>
      </c>
    </row>
    <row r="30" customFormat="false" ht="15" hidden="false" customHeight="false" outlineLevel="0" collapsed="false">
      <c r="A30" s="4" t="s">
        <v>31</v>
      </c>
      <c r="B30" s="4" t="s">
        <v>20</v>
      </c>
      <c r="C30" s="4" t="s">
        <v>32</v>
      </c>
      <c r="D30" s="4" t="s">
        <v>33</v>
      </c>
      <c r="E30" s="4" t="n">
        <v>55270.52</v>
      </c>
      <c r="F30" s="4" t="n">
        <v>9315</v>
      </c>
      <c r="G30" s="4" t="n">
        <v>0.169</v>
      </c>
      <c r="H30" s="4" t="n">
        <v>23</v>
      </c>
      <c r="I30" s="4" t="n">
        <v>91.9</v>
      </c>
      <c r="J30" s="4" t="n">
        <v>4.94</v>
      </c>
      <c r="K30" s="4" t="n">
        <v>0</v>
      </c>
      <c r="L30" s="4" t="n">
        <v>4</v>
      </c>
      <c r="M30" s="4" t="n">
        <v>783672.82</v>
      </c>
      <c r="N30" s="4" t="n">
        <v>112577.14</v>
      </c>
    </row>
    <row r="31" customFormat="false" ht="15" hidden="false" customHeight="false" outlineLevel="0" collapsed="false">
      <c r="A31" s="4" t="s">
        <v>31</v>
      </c>
      <c r="B31" s="4" t="s">
        <v>21</v>
      </c>
      <c r="C31" s="4" t="s">
        <v>32</v>
      </c>
      <c r="D31" s="4" t="s">
        <v>33</v>
      </c>
      <c r="E31" s="4" t="n">
        <v>52715.1</v>
      </c>
      <c r="F31" s="4" t="n">
        <v>7223</v>
      </c>
      <c r="G31" s="4" t="n">
        <v>0.122</v>
      </c>
      <c r="H31" s="4" t="n">
        <v>16</v>
      </c>
      <c r="I31" s="4" t="n">
        <v>84.2</v>
      </c>
      <c r="J31" s="4" t="n">
        <v>16.15</v>
      </c>
      <c r="K31" s="4" t="n">
        <v>0</v>
      </c>
      <c r="L31" s="4" t="n">
        <v>3.7</v>
      </c>
      <c r="M31" s="4" t="n">
        <v>701641.97</v>
      </c>
      <c r="N31" s="4" t="n">
        <v>106111.86</v>
      </c>
    </row>
    <row r="32" customFormat="false" ht="15" hidden="false" customHeight="false" outlineLevel="0" collapsed="false">
      <c r="A32" s="4" t="s">
        <v>34</v>
      </c>
      <c r="B32" s="4" t="s">
        <v>16</v>
      </c>
      <c r="C32" s="4" t="s">
        <v>17</v>
      </c>
      <c r="D32" s="4" t="s">
        <v>18</v>
      </c>
      <c r="E32" s="4" t="n">
        <v>68600.62</v>
      </c>
      <c r="F32" s="4" t="n">
        <v>3988</v>
      </c>
      <c r="G32" s="4" t="n">
        <v>0.124</v>
      </c>
      <c r="H32" s="4" t="n">
        <v>11</v>
      </c>
      <c r="I32" s="4" t="n">
        <v>85</v>
      </c>
      <c r="J32" s="4" t="n">
        <v>0.48</v>
      </c>
      <c r="K32" s="4" t="n">
        <v>0</v>
      </c>
      <c r="L32" s="4" t="n">
        <v>3.6</v>
      </c>
      <c r="M32" s="4" t="n">
        <v>511844.41</v>
      </c>
      <c r="N32" s="4" t="n">
        <v>72774.44</v>
      </c>
    </row>
    <row r="33" customFormat="false" ht="15" hidden="false" customHeight="false" outlineLevel="0" collapsed="false">
      <c r="A33" s="4" t="s">
        <v>34</v>
      </c>
      <c r="B33" s="4" t="s">
        <v>19</v>
      </c>
      <c r="C33" s="4" t="s">
        <v>17</v>
      </c>
      <c r="D33" s="4" t="s">
        <v>18</v>
      </c>
      <c r="E33" s="4" t="n">
        <v>63176.73</v>
      </c>
      <c r="F33" s="4" t="n">
        <v>2390</v>
      </c>
      <c r="G33" s="4" t="n">
        <v>0.216</v>
      </c>
      <c r="H33" s="4" t="n">
        <v>9</v>
      </c>
      <c r="I33" s="4" t="n">
        <v>87.5</v>
      </c>
      <c r="J33" s="4" t="n">
        <v>0.31</v>
      </c>
      <c r="K33" s="4" t="n">
        <v>0</v>
      </c>
      <c r="L33" s="4" t="n">
        <v>3.1</v>
      </c>
      <c r="M33" s="4" t="n">
        <v>537383.79</v>
      </c>
      <c r="N33" s="4" t="n">
        <v>63773.27</v>
      </c>
    </row>
    <row r="34" customFormat="false" ht="15" hidden="false" customHeight="false" outlineLevel="0" collapsed="false">
      <c r="A34" s="4" t="s">
        <v>34</v>
      </c>
      <c r="B34" s="4" t="s">
        <v>20</v>
      </c>
      <c r="C34" s="4" t="s">
        <v>17</v>
      </c>
      <c r="D34" s="4" t="s">
        <v>18</v>
      </c>
      <c r="E34" s="4" t="n">
        <v>44970.08</v>
      </c>
      <c r="F34" s="4" t="n">
        <v>2471</v>
      </c>
      <c r="G34" s="4" t="n">
        <v>0.136</v>
      </c>
      <c r="H34" s="4" t="n">
        <v>11</v>
      </c>
      <c r="I34" s="4" t="n">
        <v>87.6</v>
      </c>
      <c r="J34" s="4" t="n">
        <v>3.01</v>
      </c>
      <c r="K34" s="4" t="n">
        <v>1</v>
      </c>
      <c r="L34" s="4" t="n">
        <v>3.7</v>
      </c>
      <c r="M34" s="4" t="n">
        <v>500173.02</v>
      </c>
      <c r="N34" s="4" t="n">
        <v>70982.05</v>
      </c>
    </row>
    <row r="35" customFormat="false" ht="15" hidden="false" customHeight="false" outlineLevel="0" collapsed="false">
      <c r="A35" s="4" t="s">
        <v>34</v>
      </c>
      <c r="B35" s="4" t="s">
        <v>21</v>
      </c>
      <c r="C35" s="4" t="s">
        <v>17</v>
      </c>
      <c r="D35" s="4" t="s">
        <v>18</v>
      </c>
      <c r="E35" s="4" t="n">
        <v>69816.35</v>
      </c>
      <c r="F35" s="4" t="n">
        <v>971</v>
      </c>
      <c r="G35" s="4" t="n">
        <v>0.168</v>
      </c>
      <c r="H35" s="4" t="n">
        <v>5</v>
      </c>
      <c r="I35" s="4" t="n">
        <v>89.9</v>
      </c>
      <c r="J35" s="4" t="n">
        <v>12.15</v>
      </c>
      <c r="K35" s="4" t="n">
        <v>0</v>
      </c>
      <c r="L35" s="4" t="n">
        <v>3.6</v>
      </c>
      <c r="M35" s="4" t="n">
        <v>427917.38</v>
      </c>
      <c r="N35" s="4" t="n">
        <v>81824.31</v>
      </c>
    </row>
    <row r="36" customFormat="false" ht="15" hidden="false" customHeight="false" outlineLevel="0" collapsed="false">
      <c r="A36" s="4" t="s">
        <v>35</v>
      </c>
      <c r="B36" s="4" t="s">
        <v>16</v>
      </c>
      <c r="C36" s="4" t="s">
        <v>25</v>
      </c>
      <c r="D36" s="4" t="s">
        <v>18</v>
      </c>
      <c r="E36" s="4" t="n">
        <v>54597.83</v>
      </c>
      <c r="F36" s="4" t="n">
        <v>9429</v>
      </c>
      <c r="G36" s="4" t="n">
        <v>0.188</v>
      </c>
      <c r="H36" s="4" t="n">
        <v>21</v>
      </c>
      <c r="I36" s="4" t="n">
        <v>83.3</v>
      </c>
      <c r="J36" s="4" t="n">
        <v>11.71</v>
      </c>
      <c r="K36" s="4" t="n">
        <v>0</v>
      </c>
      <c r="L36" s="4" t="n">
        <v>4.2</v>
      </c>
      <c r="M36" s="4" t="n">
        <v>641865.03</v>
      </c>
      <c r="N36" s="4" t="n">
        <v>81342.58</v>
      </c>
    </row>
    <row r="37" customFormat="false" ht="15" hidden="false" customHeight="false" outlineLevel="0" collapsed="false">
      <c r="A37" s="4" t="s">
        <v>35</v>
      </c>
      <c r="B37" s="4" t="s">
        <v>19</v>
      </c>
      <c r="C37" s="4" t="s">
        <v>25</v>
      </c>
      <c r="D37" s="4" t="s">
        <v>18</v>
      </c>
      <c r="E37" s="4" t="n">
        <v>73771.91</v>
      </c>
      <c r="F37" s="4" t="n">
        <v>11695</v>
      </c>
      <c r="G37" s="4" t="n">
        <v>0.07</v>
      </c>
      <c r="H37" s="4" t="n">
        <v>25</v>
      </c>
      <c r="I37" s="4" t="n">
        <v>84.7</v>
      </c>
      <c r="J37" s="4" t="n">
        <v>0.62</v>
      </c>
      <c r="K37" s="4" t="n">
        <v>0</v>
      </c>
      <c r="L37" s="4"/>
      <c r="M37" s="4" t="n">
        <v>799477.76</v>
      </c>
      <c r="N37" s="4" t="n">
        <v>164974.41</v>
      </c>
    </row>
    <row r="38" customFormat="false" ht="15" hidden="false" customHeight="false" outlineLevel="0" collapsed="false">
      <c r="A38" s="4" t="s">
        <v>35</v>
      </c>
      <c r="B38" s="4" t="s">
        <v>20</v>
      </c>
      <c r="C38" s="4" t="s">
        <v>25</v>
      </c>
      <c r="D38" s="4" t="s">
        <v>18</v>
      </c>
      <c r="E38" s="4" t="n">
        <v>74413.88</v>
      </c>
      <c r="F38" s="4" t="n">
        <v>9449</v>
      </c>
      <c r="G38" s="4" t="n">
        <v>0.039</v>
      </c>
      <c r="H38" s="4" t="n">
        <v>23</v>
      </c>
      <c r="I38" s="4" t="n">
        <v>92.1</v>
      </c>
      <c r="J38" s="4" t="n">
        <v>2.12</v>
      </c>
      <c r="K38" s="4" t="n">
        <v>0</v>
      </c>
      <c r="L38" s="4" t="n">
        <v>3.5</v>
      </c>
      <c r="M38" s="4" t="n">
        <v>798952.17</v>
      </c>
      <c r="N38" s="4" t="n">
        <v>161499.04</v>
      </c>
    </row>
    <row r="39" customFormat="false" ht="15" hidden="false" customHeight="false" outlineLevel="0" collapsed="false">
      <c r="A39" s="4" t="s">
        <v>35</v>
      </c>
      <c r="B39" s="4" t="s">
        <v>21</v>
      </c>
      <c r="C39" s="4" t="s">
        <v>25</v>
      </c>
      <c r="D39" s="4" t="s">
        <v>18</v>
      </c>
      <c r="E39" s="4" t="n">
        <v>52483.77</v>
      </c>
      <c r="F39" s="4" t="n">
        <v>10453</v>
      </c>
      <c r="G39" s="4" t="n">
        <v>0.247</v>
      </c>
      <c r="H39" s="4" t="n">
        <v>25</v>
      </c>
      <c r="I39" s="4" t="n">
        <v>99</v>
      </c>
      <c r="J39" s="4" t="n">
        <v>6.31</v>
      </c>
      <c r="K39" s="4" t="n">
        <v>0</v>
      </c>
      <c r="L39" s="4" t="n">
        <v>3.6</v>
      </c>
      <c r="M39" s="4" t="n">
        <v>800979.78</v>
      </c>
      <c r="N39" s="4" t="n">
        <v>149242.27</v>
      </c>
    </row>
    <row r="40" customFormat="false" ht="15" hidden="false" customHeight="false" outlineLevel="0" collapsed="false">
      <c r="A40" s="4" t="s">
        <v>36</v>
      </c>
      <c r="B40" s="4" t="s">
        <v>16</v>
      </c>
      <c r="C40" s="4" t="s">
        <v>25</v>
      </c>
      <c r="D40" s="4" t="s">
        <v>33</v>
      </c>
      <c r="E40" s="4" t="n">
        <v>75269.87</v>
      </c>
      <c r="F40" s="4" t="n">
        <v>8838</v>
      </c>
      <c r="G40" s="4" t="n">
        <v>0.092</v>
      </c>
      <c r="H40" s="4" t="n">
        <v>21</v>
      </c>
      <c r="I40" s="4" t="n">
        <v>83.1</v>
      </c>
      <c r="J40" s="4" t="n">
        <v>9.56</v>
      </c>
      <c r="K40" s="4" t="n">
        <v>1</v>
      </c>
      <c r="L40" s="4" t="n">
        <v>4.2</v>
      </c>
      <c r="M40" s="4" t="n">
        <v>820593.93</v>
      </c>
      <c r="N40" s="4" t="n">
        <v>115860.06</v>
      </c>
    </row>
    <row r="41" customFormat="false" ht="15" hidden="false" customHeight="false" outlineLevel="0" collapsed="false">
      <c r="A41" s="4" t="s">
        <v>36</v>
      </c>
      <c r="B41" s="4" t="s">
        <v>19</v>
      </c>
      <c r="C41" s="4" t="s">
        <v>25</v>
      </c>
      <c r="D41" s="4" t="s">
        <v>33</v>
      </c>
      <c r="E41" s="4" t="n">
        <v>61245.41</v>
      </c>
      <c r="F41" s="4" t="n">
        <v>8156</v>
      </c>
      <c r="G41" s="4" t="n">
        <v>0.156</v>
      </c>
      <c r="H41" s="4" t="n">
        <v>19</v>
      </c>
      <c r="I41" s="4" t="n">
        <v>92.9</v>
      </c>
      <c r="J41" s="4" t="n">
        <v>9.05</v>
      </c>
      <c r="K41" s="4" t="n">
        <v>0</v>
      </c>
      <c r="L41" s="4" t="n">
        <v>3.8</v>
      </c>
      <c r="M41" s="4" t="n">
        <v>718330.53</v>
      </c>
      <c r="N41" s="4" t="n">
        <v>93247.9</v>
      </c>
    </row>
    <row r="42" customFormat="false" ht="15" hidden="false" customHeight="false" outlineLevel="0" collapsed="false">
      <c r="A42" s="4" t="s">
        <v>36</v>
      </c>
      <c r="B42" s="4" t="s">
        <v>20</v>
      </c>
      <c r="C42" s="4" t="s">
        <v>25</v>
      </c>
      <c r="D42" s="4" t="s">
        <v>33</v>
      </c>
      <c r="E42" s="4" t="n">
        <v>93381.26</v>
      </c>
      <c r="F42" s="4" t="n">
        <v>7562</v>
      </c>
      <c r="G42" s="4" t="n">
        <v>0.198</v>
      </c>
      <c r="H42" s="4" t="n">
        <v>19</v>
      </c>
      <c r="I42" s="4" t="n">
        <v>82.9</v>
      </c>
      <c r="J42" s="4" t="n">
        <v>5.05</v>
      </c>
      <c r="K42" s="4" t="n">
        <v>0</v>
      </c>
      <c r="L42" s="4" t="n">
        <v>4</v>
      </c>
      <c r="M42" s="4" t="n">
        <v>736633.4</v>
      </c>
      <c r="N42" s="4" t="n">
        <v>115654.66</v>
      </c>
    </row>
    <row r="43" customFormat="false" ht="15" hidden="false" customHeight="false" outlineLevel="0" collapsed="false">
      <c r="A43" s="4" t="s">
        <v>36</v>
      </c>
      <c r="B43" s="4" t="s">
        <v>21</v>
      </c>
      <c r="C43" s="4" t="s">
        <v>25</v>
      </c>
      <c r="D43" s="4" t="s">
        <v>33</v>
      </c>
      <c r="E43" s="4" t="n">
        <v>65012.19</v>
      </c>
      <c r="F43" s="4" t="n">
        <v>9598</v>
      </c>
      <c r="G43" s="4" t="n">
        <v>0.085</v>
      </c>
      <c r="H43" s="4" t="n">
        <v>24</v>
      </c>
      <c r="I43" s="4" t="n">
        <v>98.3</v>
      </c>
      <c r="J43" s="4" t="n">
        <v>0.89</v>
      </c>
      <c r="K43" s="4" t="n">
        <v>0</v>
      </c>
      <c r="L43" s="4" t="n">
        <v>3.8</v>
      </c>
      <c r="M43" s="4" t="n">
        <v>828623.85</v>
      </c>
      <c r="N43" s="4" t="n">
        <v>167320.52</v>
      </c>
    </row>
    <row r="44" customFormat="false" ht="15" hidden="false" customHeight="false" outlineLevel="0" collapsed="false">
      <c r="A44" s="4" t="s">
        <v>37</v>
      </c>
      <c r="B44" s="4" t="s">
        <v>16</v>
      </c>
      <c r="C44" s="4" t="s">
        <v>17</v>
      </c>
      <c r="D44" s="4" t="s">
        <v>33</v>
      </c>
      <c r="E44" s="4" t="n">
        <v>40462.94</v>
      </c>
      <c r="F44" s="4" t="n">
        <v>3660</v>
      </c>
      <c r="G44" s="4" t="n">
        <v>0.218</v>
      </c>
      <c r="H44" s="4" t="n">
        <v>11</v>
      </c>
      <c r="I44" s="4" t="n">
        <v>95.2</v>
      </c>
      <c r="J44" s="4" t="n">
        <v>5.57</v>
      </c>
      <c r="K44" s="4" t="n">
        <v>0</v>
      </c>
      <c r="L44" s="4" t="n">
        <v>4.4</v>
      </c>
      <c r="M44" s="4" t="n">
        <v>592195.85</v>
      </c>
      <c r="N44" s="4" t="n">
        <v>92291.56</v>
      </c>
    </row>
    <row r="45" customFormat="false" ht="15" hidden="false" customHeight="false" outlineLevel="0" collapsed="false">
      <c r="A45" s="4" t="s">
        <v>37</v>
      </c>
      <c r="B45" s="4" t="s">
        <v>19</v>
      </c>
      <c r="C45" s="4" t="s">
        <v>17</v>
      </c>
      <c r="D45" s="4" t="s">
        <v>33</v>
      </c>
      <c r="E45" s="4" t="n">
        <v>46123.88</v>
      </c>
      <c r="F45" s="4" t="n">
        <v>3227</v>
      </c>
      <c r="G45" s="4" t="n">
        <v>0.143</v>
      </c>
      <c r="H45" s="4" t="n">
        <v>10</v>
      </c>
      <c r="I45" s="4" t="n">
        <v>75.4</v>
      </c>
      <c r="J45" s="4" t="n">
        <v>1.06</v>
      </c>
      <c r="K45" s="4" t="n">
        <v>0</v>
      </c>
      <c r="L45" s="4" t="n">
        <v>4.4</v>
      </c>
      <c r="M45" s="4" t="n">
        <v>532644.46</v>
      </c>
      <c r="N45" s="4" t="n">
        <v>60681.32</v>
      </c>
    </row>
    <row r="46" customFormat="false" ht="15" hidden="false" customHeight="false" outlineLevel="0" collapsed="false">
      <c r="A46" s="4" t="s">
        <v>37</v>
      </c>
      <c r="B46" s="4" t="s">
        <v>20</v>
      </c>
      <c r="C46" s="4" t="s">
        <v>17</v>
      </c>
      <c r="D46" s="4" t="s">
        <v>33</v>
      </c>
      <c r="E46" s="4" t="n">
        <v>68077.54</v>
      </c>
      <c r="F46" s="4" t="n">
        <v>3360</v>
      </c>
      <c r="G46" s="4" t="n">
        <v>0.128</v>
      </c>
      <c r="H46" s="4" t="n">
        <v>14</v>
      </c>
      <c r="I46" s="4" t="n">
        <v>88.2</v>
      </c>
      <c r="J46" s="4" t="n">
        <v>1.24</v>
      </c>
      <c r="K46" s="4" t="n">
        <v>1</v>
      </c>
      <c r="L46" s="4" t="n">
        <v>4</v>
      </c>
      <c r="M46" s="4" t="n">
        <v>657429.18</v>
      </c>
      <c r="N46" s="4" t="n">
        <v>88919.74</v>
      </c>
    </row>
    <row r="47" customFormat="false" ht="15" hidden="false" customHeight="false" outlineLevel="0" collapsed="false">
      <c r="A47" s="4" t="s">
        <v>37</v>
      </c>
      <c r="B47" s="4" t="s">
        <v>21</v>
      </c>
      <c r="C47" s="4" t="s">
        <v>17</v>
      </c>
      <c r="D47" s="4" t="s">
        <v>33</v>
      </c>
      <c r="E47" s="4" t="n">
        <v>64882.14</v>
      </c>
      <c r="F47" s="4" t="n">
        <v>3642</v>
      </c>
      <c r="G47" s="4" t="n">
        <v>0.019</v>
      </c>
      <c r="H47" s="4" t="n">
        <v>13</v>
      </c>
      <c r="I47" s="4" t="n">
        <v>87.8</v>
      </c>
      <c r="J47" s="4" t="n">
        <v>4.52</v>
      </c>
      <c r="K47" s="4" t="n">
        <v>0</v>
      </c>
      <c r="L47" s="4" t="n">
        <v>4.2</v>
      </c>
      <c r="M47" s="4" t="n">
        <v>605178</v>
      </c>
      <c r="N47" s="4" t="n">
        <v>106958.74</v>
      </c>
    </row>
    <row r="48" customFormat="false" ht="15" hidden="false" customHeight="false" outlineLevel="0" collapsed="false">
      <c r="A48" s="4" t="s">
        <v>38</v>
      </c>
      <c r="B48" s="4" t="s">
        <v>16</v>
      </c>
      <c r="C48" s="4" t="s">
        <v>32</v>
      </c>
      <c r="D48" s="4" t="s">
        <v>18</v>
      </c>
      <c r="E48" s="4" t="n">
        <v>138855.51</v>
      </c>
      <c r="F48" s="4" t="n">
        <v>5145</v>
      </c>
      <c r="G48" s="4" t="n">
        <v>0.06</v>
      </c>
      <c r="H48" s="4" t="n">
        <v>17</v>
      </c>
      <c r="I48" s="4" t="n">
        <v>88.2</v>
      </c>
      <c r="J48" s="4" t="n">
        <v>9.58</v>
      </c>
      <c r="K48" s="4" t="n">
        <v>0</v>
      </c>
      <c r="L48" s="4" t="n">
        <v>3.2</v>
      </c>
      <c r="M48" s="4" t="n">
        <v>595467.6</v>
      </c>
      <c r="N48" s="4" t="n">
        <v>104276.46</v>
      </c>
    </row>
    <row r="49" customFormat="false" ht="15" hidden="false" customHeight="false" outlineLevel="0" collapsed="false">
      <c r="A49" s="4" t="s">
        <v>38</v>
      </c>
      <c r="B49" s="4" t="s">
        <v>19</v>
      </c>
      <c r="C49" s="4" t="s">
        <v>32</v>
      </c>
      <c r="D49" s="4" t="s">
        <v>18</v>
      </c>
      <c r="E49" s="4" t="n">
        <v>63630.21</v>
      </c>
      <c r="F49" s="4" t="n">
        <v>4460</v>
      </c>
      <c r="G49" s="4" t="n">
        <v>0.235</v>
      </c>
      <c r="H49" s="4" t="n">
        <v>14</v>
      </c>
      <c r="I49" s="4" t="n">
        <v>98.6</v>
      </c>
      <c r="J49" s="4" t="n">
        <v>5.52</v>
      </c>
      <c r="K49" s="4" t="n">
        <v>0</v>
      </c>
      <c r="L49" s="4" t="n">
        <v>3.5</v>
      </c>
      <c r="M49" s="4" t="n">
        <v>599603.4</v>
      </c>
      <c r="N49" s="4" t="n">
        <v>112685.12</v>
      </c>
    </row>
    <row r="50" customFormat="false" ht="15" hidden="false" customHeight="false" outlineLevel="0" collapsed="false">
      <c r="A50" s="4" t="s">
        <v>38</v>
      </c>
      <c r="B50" s="4" t="s">
        <v>20</v>
      </c>
      <c r="C50" s="4" t="s">
        <v>32</v>
      </c>
      <c r="D50" s="4" t="s">
        <v>18</v>
      </c>
      <c r="E50" s="4" t="n">
        <v>50043.65</v>
      </c>
      <c r="F50" s="4" t="n">
        <v>3804</v>
      </c>
      <c r="G50" s="4" t="n">
        <v>0.113</v>
      </c>
      <c r="H50" s="4" t="n">
        <v>11</v>
      </c>
      <c r="I50" s="4" t="n">
        <v>90.9</v>
      </c>
      <c r="J50" s="4" t="n">
        <v>2.7</v>
      </c>
      <c r="K50" s="4" t="n">
        <v>1</v>
      </c>
      <c r="L50" s="4" t="n">
        <v>3.2</v>
      </c>
      <c r="M50" s="4" t="n">
        <v>614800.09</v>
      </c>
      <c r="N50" s="4" t="n">
        <v>100044.2</v>
      </c>
    </row>
    <row r="51" customFormat="false" ht="15" hidden="false" customHeight="false" outlineLevel="0" collapsed="false">
      <c r="A51" s="4" t="s">
        <v>38</v>
      </c>
      <c r="B51" s="4" t="s">
        <v>21</v>
      </c>
      <c r="C51" s="4" t="s">
        <v>32</v>
      </c>
      <c r="D51" s="4" t="s">
        <v>18</v>
      </c>
      <c r="E51" s="4" t="n">
        <v>42093.84</v>
      </c>
      <c r="F51" s="4" t="n">
        <v>4074</v>
      </c>
      <c r="G51" s="4" t="n">
        <v>0.155</v>
      </c>
      <c r="H51" s="4" t="n">
        <v>15</v>
      </c>
      <c r="I51" s="4" t="n">
        <v>88</v>
      </c>
      <c r="J51" s="4" t="n">
        <v>9.64</v>
      </c>
      <c r="K51" s="4" t="n">
        <v>0</v>
      </c>
      <c r="L51" s="4" t="n">
        <v>3.3</v>
      </c>
      <c r="M51" s="4" t="n">
        <v>585365.73</v>
      </c>
      <c r="N51" s="4" t="n">
        <v>81011.52</v>
      </c>
    </row>
    <row r="52" customFormat="false" ht="15" hidden="false" customHeight="false" outlineLevel="0" collapsed="false">
      <c r="A52" s="4" t="s">
        <v>39</v>
      </c>
      <c r="B52" s="4" t="s">
        <v>16</v>
      </c>
      <c r="C52" s="4" t="s">
        <v>25</v>
      </c>
      <c r="D52" s="4" t="s">
        <v>33</v>
      </c>
      <c r="E52" s="4" t="n">
        <v>46624.05</v>
      </c>
      <c r="F52" s="4" t="n">
        <v>5104</v>
      </c>
      <c r="G52" s="4" t="n">
        <v>0.109</v>
      </c>
      <c r="H52" s="4" t="n">
        <v>11</v>
      </c>
      <c r="I52" s="4" t="n">
        <v>97.3</v>
      </c>
      <c r="J52" s="4" t="n">
        <v>3.49</v>
      </c>
      <c r="K52" s="4" t="n">
        <v>1</v>
      </c>
      <c r="L52" s="4" t="n">
        <v>4.7</v>
      </c>
      <c r="M52" s="4" t="n">
        <v>622811.74</v>
      </c>
      <c r="N52" s="4" t="n">
        <v>109978.35</v>
      </c>
    </row>
    <row r="53" customFormat="false" ht="15" hidden="false" customHeight="false" outlineLevel="0" collapsed="false">
      <c r="A53" s="4" t="s">
        <v>39</v>
      </c>
      <c r="B53" s="4" t="s">
        <v>19</v>
      </c>
      <c r="C53" s="4" t="s">
        <v>25</v>
      </c>
      <c r="D53" s="4" t="s">
        <v>33</v>
      </c>
      <c r="E53" s="4" t="n">
        <v>49710.29</v>
      </c>
      <c r="F53" s="4" t="n">
        <v>5559</v>
      </c>
      <c r="G53" s="4" t="n">
        <v>0.218</v>
      </c>
      <c r="H53" s="4" t="n">
        <v>14</v>
      </c>
      <c r="I53" s="4" t="n">
        <v>71</v>
      </c>
      <c r="J53" s="4" t="n">
        <v>9.11</v>
      </c>
      <c r="K53" s="4" t="n">
        <v>0</v>
      </c>
      <c r="L53" s="4" t="n">
        <v>4.6</v>
      </c>
      <c r="M53" s="4" t="n">
        <v>603297.57</v>
      </c>
      <c r="N53" s="4" t="n">
        <v>60592.26</v>
      </c>
    </row>
    <row r="54" customFormat="false" ht="15" hidden="false" customHeight="false" outlineLevel="0" collapsed="false">
      <c r="A54" s="4" t="s">
        <v>39</v>
      </c>
      <c r="B54" s="4" t="s">
        <v>20</v>
      </c>
      <c r="C54" s="4" t="s">
        <v>25</v>
      </c>
      <c r="D54" s="4" t="s">
        <v>33</v>
      </c>
      <c r="E54" s="4" t="n">
        <v>48287.85</v>
      </c>
      <c r="F54" s="4" t="n">
        <v>5150</v>
      </c>
      <c r="G54" s="4" t="n">
        <v>0.008</v>
      </c>
      <c r="H54" s="4" t="n">
        <v>12</v>
      </c>
      <c r="I54" s="4" t="n">
        <v>80.4</v>
      </c>
      <c r="J54" s="4" t="n">
        <v>7.4</v>
      </c>
      <c r="K54" s="4" t="n">
        <v>0</v>
      </c>
      <c r="L54" s="4" t="n">
        <v>4.5</v>
      </c>
      <c r="M54" s="4" t="n">
        <v>625672.86</v>
      </c>
      <c r="N54" s="4" t="n">
        <v>118020.12</v>
      </c>
    </row>
    <row r="55" customFormat="false" ht="15" hidden="false" customHeight="false" outlineLevel="0" collapsed="false">
      <c r="A55" s="4" t="s">
        <v>39</v>
      </c>
      <c r="B55" s="4" t="s">
        <v>21</v>
      </c>
      <c r="C55" s="4" t="s">
        <v>25</v>
      </c>
      <c r="D55" s="4" t="s">
        <v>33</v>
      </c>
      <c r="E55" s="4" t="n">
        <v>65312.49</v>
      </c>
      <c r="F55" s="4" t="n">
        <v>7189</v>
      </c>
      <c r="G55" s="4" t="n">
        <v>0.05</v>
      </c>
      <c r="H55" s="4" t="n">
        <v>19</v>
      </c>
      <c r="I55" s="4" t="n">
        <v>93.7</v>
      </c>
      <c r="J55" s="4" t="n">
        <v>7.16</v>
      </c>
      <c r="K55" s="4" t="n">
        <v>0</v>
      </c>
      <c r="L55" s="4" t="n">
        <v>4.6</v>
      </c>
      <c r="M55" s="4" t="n">
        <v>773815.14</v>
      </c>
      <c r="N55" s="4" t="n">
        <v>133948.39</v>
      </c>
    </row>
    <row r="56" customFormat="false" ht="15" hidden="false" customHeight="false" outlineLevel="0" collapsed="false">
      <c r="A56" s="4" t="s">
        <v>40</v>
      </c>
      <c r="B56" s="4" t="s">
        <v>16</v>
      </c>
      <c r="C56" s="4" t="s">
        <v>32</v>
      </c>
      <c r="D56" s="4" t="s">
        <v>23</v>
      </c>
      <c r="E56" s="4" t="n">
        <v>53015.46</v>
      </c>
      <c r="F56" s="4" t="n">
        <v>3279</v>
      </c>
      <c r="G56" s="4" t="n">
        <v>0.087</v>
      </c>
      <c r="H56" s="4" t="n">
        <v>9</v>
      </c>
      <c r="I56" s="4" t="n">
        <v>84.3</v>
      </c>
      <c r="J56" s="4" t="n">
        <v>22.02</v>
      </c>
      <c r="K56" s="4" t="n">
        <v>0</v>
      </c>
      <c r="L56" s="4" t="n">
        <v>3.9</v>
      </c>
      <c r="M56" s="4" t="n">
        <v>463534.25</v>
      </c>
      <c r="N56" s="4" t="n">
        <v>81834.54</v>
      </c>
    </row>
    <row r="57" customFormat="false" ht="15" hidden="false" customHeight="false" outlineLevel="0" collapsed="false">
      <c r="A57" s="4" t="s">
        <v>40</v>
      </c>
      <c r="B57" s="4" t="s">
        <v>19</v>
      </c>
      <c r="C57" s="4" t="s">
        <v>32</v>
      </c>
      <c r="D57" s="4" t="s">
        <v>23</v>
      </c>
      <c r="E57" s="4" t="n">
        <v>99874.01</v>
      </c>
      <c r="F57" s="4" t="n">
        <v>5887</v>
      </c>
      <c r="G57" s="4" t="n">
        <v>0.262</v>
      </c>
      <c r="H57" s="4" t="n">
        <v>14</v>
      </c>
      <c r="I57" s="4" t="n">
        <v>88.7</v>
      </c>
      <c r="J57" s="4" t="n">
        <v>6.18</v>
      </c>
      <c r="K57" s="4" t="n">
        <v>0</v>
      </c>
      <c r="L57" s="4" t="n">
        <v>4.7</v>
      </c>
      <c r="M57" s="4" t="n">
        <v>746677.75</v>
      </c>
      <c r="N57" s="4" t="n">
        <v>122437.84</v>
      </c>
    </row>
    <row r="58" customFormat="false" ht="15" hidden="false" customHeight="false" outlineLevel="0" collapsed="false">
      <c r="A58" s="4" t="s">
        <v>40</v>
      </c>
      <c r="B58" s="4" t="s">
        <v>20</v>
      </c>
      <c r="C58" s="4" t="s">
        <v>32</v>
      </c>
      <c r="D58" s="4" t="s">
        <v>23</v>
      </c>
      <c r="E58" s="4" t="n">
        <v>81195.5</v>
      </c>
      <c r="F58" s="4" t="n">
        <v>5516</v>
      </c>
      <c r="G58" s="4" t="n">
        <v>0.106</v>
      </c>
      <c r="H58" s="4" t="n">
        <v>14</v>
      </c>
      <c r="I58" s="4" t="n">
        <v>88</v>
      </c>
      <c r="J58" s="4" t="n">
        <v>1.76</v>
      </c>
      <c r="K58" s="4" t="n">
        <v>0</v>
      </c>
      <c r="L58" s="4" t="n">
        <v>4.3</v>
      </c>
      <c r="M58" s="4" t="n">
        <v>720852.5</v>
      </c>
      <c r="N58" s="4" t="n">
        <v>98565.62</v>
      </c>
    </row>
    <row r="59" customFormat="false" ht="15" hidden="false" customHeight="false" outlineLevel="0" collapsed="false">
      <c r="A59" s="4" t="s">
        <v>40</v>
      </c>
      <c r="B59" s="4" t="s">
        <v>21</v>
      </c>
      <c r="C59" s="4" t="s">
        <v>32</v>
      </c>
      <c r="D59" s="4" t="s">
        <v>23</v>
      </c>
      <c r="E59" s="4" t="n">
        <v>27808.6</v>
      </c>
      <c r="F59" s="4" t="n">
        <v>2863</v>
      </c>
      <c r="G59" s="4" t="n">
        <v>0.08</v>
      </c>
      <c r="H59" s="4" t="n">
        <v>13</v>
      </c>
      <c r="I59" s="4" t="n">
        <v>89.3</v>
      </c>
      <c r="J59" s="4" t="n">
        <v>0.47</v>
      </c>
      <c r="K59" s="4" t="n">
        <v>0</v>
      </c>
      <c r="L59" s="4" t="n">
        <v>4.1</v>
      </c>
      <c r="M59" s="4" t="n">
        <v>487464.91</v>
      </c>
      <c r="N59" s="4" t="n">
        <v>64562.26</v>
      </c>
    </row>
    <row r="60" customFormat="false" ht="15" hidden="false" customHeight="false" outlineLevel="0" collapsed="false">
      <c r="A60" s="4" t="s">
        <v>41</v>
      </c>
      <c r="B60" s="4" t="s">
        <v>16</v>
      </c>
      <c r="C60" s="4" t="s">
        <v>17</v>
      </c>
      <c r="D60" s="4" t="s">
        <v>26</v>
      </c>
      <c r="E60" s="4" t="n">
        <v>19365.06</v>
      </c>
      <c r="F60" s="4" t="n">
        <v>2378</v>
      </c>
      <c r="G60" s="4" t="n">
        <v>0</v>
      </c>
      <c r="H60" s="4" t="n">
        <v>12</v>
      </c>
      <c r="I60" s="4" t="n">
        <v>94.8</v>
      </c>
      <c r="J60" s="4" t="n">
        <v>0.2</v>
      </c>
      <c r="K60" s="4" t="n">
        <v>0</v>
      </c>
      <c r="L60" s="4" t="n">
        <v>3.5</v>
      </c>
      <c r="M60" s="4" t="n">
        <v>518049.26</v>
      </c>
      <c r="N60" s="4" t="n">
        <v>108592.49</v>
      </c>
    </row>
    <row r="61" customFormat="false" ht="15" hidden="false" customHeight="false" outlineLevel="0" collapsed="false">
      <c r="A61" s="4" t="s">
        <v>41</v>
      </c>
      <c r="B61" s="4" t="s">
        <v>19</v>
      </c>
      <c r="C61" s="4" t="s">
        <v>17</v>
      </c>
      <c r="D61" s="4" t="s">
        <v>26</v>
      </c>
      <c r="E61" s="4" t="n">
        <v>59405.68</v>
      </c>
      <c r="F61" s="4" t="n">
        <v>2515</v>
      </c>
      <c r="G61" s="4" t="n">
        <v>0.039</v>
      </c>
      <c r="H61" s="4" t="n">
        <v>12</v>
      </c>
      <c r="I61" s="4" t="n">
        <v>76</v>
      </c>
      <c r="J61" s="4" t="n">
        <v>5.11</v>
      </c>
      <c r="K61" s="4" t="n">
        <v>0</v>
      </c>
      <c r="L61" s="4" t="n">
        <v>3.7</v>
      </c>
      <c r="M61" s="4" t="n">
        <v>500298.48</v>
      </c>
      <c r="N61" s="4" t="n">
        <v>73461.32</v>
      </c>
    </row>
    <row r="62" customFormat="false" ht="15" hidden="false" customHeight="false" outlineLevel="0" collapsed="false">
      <c r="A62" s="4" t="s">
        <v>41</v>
      </c>
      <c r="B62" s="4" t="s">
        <v>20</v>
      </c>
      <c r="C62" s="4" t="s">
        <v>17</v>
      </c>
      <c r="D62" s="4" t="s">
        <v>26</v>
      </c>
      <c r="E62" s="4" t="n">
        <v>118910.48</v>
      </c>
      <c r="F62" s="4" t="n">
        <v>4022</v>
      </c>
      <c r="G62" s="4" t="n">
        <v>0.137</v>
      </c>
      <c r="H62" s="4" t="n">
        <v>11</v>
      </c>
      <c r="I62" s="4" t="n">
        <v>87.1</v>
      </c>
      <c r="J62" s="4" t="n">
        <v>0.2</v>
      </c>
      <c r="K62" s="4" t="n">
        <v>0</v>
      </c>
      <c r="L62" s="4" t="n">
        <v>3.1</v>
      </c>
      <c r="M62" s="4" t="n">
        <v>617291.15</v>
      </c>
      <c r="N62" s="4" t="n">
        <v>117782</v>
      </c>
    </row>
    <row r="63" customFormat="false" ht="15" hidden="false" customHeight="false" outlineLevel="0" collapsed="false">
      <c r="A63" s="4" t="s">
        <v>41</v>
      </c>
      <c r="B63" s="4" t="s">
        <v>21</v>
      </c>
      <c r="C63" s="4" t="s">
        <v>17</v>
      </c>
      <c r="D63" s="4" t="s">
        <v>26</v>
      </c>
      <c r="E63" s="4" t="n">
        <v>52952.12</v>
      </c>
      <c r="F63" s="4" t="n">
        <v>4377</v>
      </c>
      <c r="G63" s="4" t="n">
        <v>0.092</v>
      </c>
      <c r="H63" s="4" t="n">
        <v>14</v>
      </c>
      <c r="I63" s="4" t="n">
        <v>88.6</v>
      </c>
      <c r="J63" s="4" t="n">
        <v>13.59</v>
      </c>
      <c r="K63" s="4" t="n">
        <v>0</v>
      </c>
      <c r="L63" s="4" t="n">
        <v>3.1</v>
      </c>
      <c r="M63" s="4" t="n">
        <v>553756.43</v>
      </c>
      <c r="N63" s="4" t="n">
        <v>86166.77</v>
      </c>
    </row>
    <row r="64" customFormat="false" ht="15" hidden="false" customHeight="false" outlineLevel="0" collapsed="false">
      <c r="A64" s="4" t="s">
        <v>42</v>
      </c>
      <c r="B64" s="4" t="s">
        <v>16</v>
      </c>
      <c r="C64" s="4" t="s">
        <v>29</v>
      </c>
      <c r="D64" s="4" t="s">
        <v>23</v>
      </c>
      <c r="E64" s="4" t="n">
        <v>74907.98</v>
      </c>
      <c r="F64" s="4" t="n">
        <v>5306</v>
      </c>
      <c r="G64" s="4" t="n">
        <v>0.062</v>
      </c>
      <c r="H64" s="4" t="n">
        <v>16</v>
      </c>
      <c r="I64" s="4" t="n">
        <v>95.6</v>
      </c>
      <c r="J64" s="4" t="n">
        <v>1.02</v>
      </c>
      <c r="K64" s="4" t="n">
        <v>0</v>
      </c>
      <c r="L64" s="4" t="n">
        <v>3.7</v>
      </c>
      <c r="M64" s="4" t="n">
        <v>749559.71</v>
      </c>
      <c r="N64" s="4" t="n">
        <v>144522.53</v>
      </c>
    </row>
    <row r="65" customFormat="false" ht="15" hidden="false" customHeight="false" outlineLevel="0" collapsed="false">
      <c r="A65" s="4" t="s">
        <v>42</v>
      </c>
      <c r="B65" s="4" t="s">
        <v>19</v>
      </c>
      <c r="C65" s="4" t="s">
        <v>29</v>
      </c>
      <c r="D65" s="4" t="s">
        <v>23</v>
      </c>
      <c r="E65" s="4" t="n">
        <v>37284.66</v>
      </c>
      <c r="F65" s="4" t="n">
        <v>3928</v>
      </c>
      <c r="G65" s="4" t="n">
        <v>0.074</v>
      </c>
      <c r="H65" s="4" t="n">
        <v>12</v>
      </c>
      <c r="I65" s="4" t="n">
        <v>86.5</v>
      </c>
      <c r="J65" s="4" t="n">
        <v>1.64</v>
      </c>
      <c r="K65" s="4" t="n">
        <v>0</v>
      </c>
      <c r="L65" s="4" t="n">
        <v>3.8</v>
      </c>
      <c r="M65" s="4" t="n">
        <v>615966.48</v>
      </c>
      <c r="N65" s="4" t="n">
        <v>91509.38</v>
      </c>
    </row>
    <row r="66" customFormat="false" ht="15" hidden="false" customHeight="false" outlineLevel="0" collapsed="false">
      <c r="A66" s="4" t="s">
        <v>42</v>
      </c>
      <c r="B66" s="4" t="s">
        <v>20</v>
      </c>
      <c r="C66" s="4" t="s">
        <v>29</v>
      </c>
      <c r="D66" s="4" t="s">
        <v>23</v>
      </c>
      <c r="E66" s="4" t="n">
        <v>50343.19</v>
      </c>
      <c r="F66" s="4" t="n">
        <v>3845</v>
      </c>
      <c r="G66" s="4" t="n">
        <v>0.113</v>
      </c>
      <c r="H66" s="4" t="n">
        <v>9</v>
      </c>
      <c r="I66" s="4" t="n">
        <v>88.7</v>
      </c>
      <c r="J66" s="4" t="n">
        <v>5.15</v>
      </c>
      <c r="K66" s="4" t="n">
        <v>0</v>
      </c>
      <c r="L66" s="4" t="n">
        <v>3.3</v>
      </c>
      <c r="M66" s="4" t="n">
        <v>572011.2</v>
      </c>
      <c r="N66" s="4" t="n">
        <v>101409.68</v>
      </c>
    </row>
    <row r="67" customFormat="false" ht="15" hidden="false" customHeight="false" outlineLevel="0" collapsed="false">
      <c r="A67" s="4" t="s">
        <v>42</v>
      </c>
      <c r="B67" s="4" t="s">
        <v>21</v>
      </c>
      <c r="C67" s="4" t="s">
        <v>29</v>
      </c>
      <c r="D67" s="4" t="s">
        <v>23</v>
      </c>
      <c r="E67" s="4" t="n">
        <v>74954.47</v>
      </c>
      <c r="F67" s="4" t="n">
        <v>6620</v>
      </c>
      <c r="G67" s="4" t="n">
        <v>0.054</v>
      </c>
      <c r="H67" s="4" t="n">
        <v>17</v>
      </c>
      <c r="I67" s="4" t="n">
        <v>91.1</v>
      </c>
      <c r="J67" s="4" t="n">
        <v>1.11</v>
      </c>
      <c r="K67" s="4" t="n">
        <v>0</v>
      </c>
      <c r="L67" s="4" t="n">
        <v>3.5</v>
      </c>
      <c r="M67" s="4" t="n">
        <v>761860.19</v>
      </c>
      <c r="N67" s="4" t="n">
        <v>133279.38</v>
      </c>
    </row>
    <row r="68" customFormat="false" ht="15" hidden="false" customHeight="false" outlineLevel="0" collapsed="false">
      <c r="A68" s="4" t="s">
        <v>43</v>
      </c>
      <c r="B68" s="4" t="s">
        <v>16</v>
      </c>
      <c r="C68" s="4" t="s">
        <v>32</v>
      </c>
      <c r="D68" s="4" t="s">
        <v>23</v>
      </c>
      <c r="E68" s="4" t="n">
        <v>70040.31</v>
      </c>
      <c r="F68" s="4" t="n">
        <v>9175</v>
      </c>
      <c r="G68" s="4" t="n">
        <v>0.107</v>
      </c>
      <c r="H68" s="4" t="n">
        <v>23</v>
      </c>
      <c r="I68" s="4" t="n">
        <v>95.1</v>
      </c>
      <c r="J68" s="4" t="n">
        <v>6.08</v>
      </c>
      <c r="K68" s="4" t="n">
        <v>1</v>
      </c>
      <c r="L68" s="4" t="n">
        <v>3.4</v>
      </c>
      <c r="M68" s="4" t="n">
        <v>784502.68</v>
      </c>
      <c r="N68" s="4" t="n">
        <v>129519.72</v>
      </c>
    </row>
    <row r="69" customFormat="false" ht="15" hidden="false" customHeight="false" outlineLevel="0" collapsed="false">
      <c r="A69" s="4" t="s">
        <v>43</v>
      </c>
      <c r="B69" s="4" t="s">
        <v>19</v>
      </c>
      <c r="C69" s="4" t="s">
        <v>32</v>
      </c>
      <c r="D69" s="4" t="s">
        <v>23</v>
      </c>
      <c r="E69" s="4" t="n">
        <v>51148.69</v>
      </c>
      <c r="F69" s="4" t="n">
        <v>7940</v>
      </c>
      <c r="G69" s="4" t="n">
        <v>0.156</v>
      </c>
      <c r="H69" s="4" t="n">
        <v>18</v>
      </c>
      <c r="I69" s="4" t="n">
        <v>93.3</v>
      </c>
      <c r="J69" s="4" t="n">
        <v>10.91</v>
      </c>
      <c r="K69" s="4" t="n">
        <v>0</v>
      </c>
      <c r="L69" s="4" t="n">
        <v>3.6</v>
      </c>
      <c r="M69" s="4" t="n">
        <v>717141.55</v>
      </c>
      <c r="N69" s="4" t="n">
        <v>134013.61</v>
      </c>
    </row>
    <row r="70" customFormat="false" ht="15" hidden="false" customHeight="false" outlineLevel="0" collapsed="false">
      <c r="A70" s="4" t="s">
        <v>43</v>
      </c>
      <c r="B70" s="4" t="s">
        <v>20</v>
      </c>
      <c r="C70" s="4" t="s">
        <v>32</v>
      </c>
      <c r="D70" s="4" t="s">
        <v>23</v>
      </c>
      <c r="E70" s="4" t="n">
        <v>79346.1</v>
      </c>
      <c r="F70" s="4" t="n">
        <v>9628</v>
      </c>
      <c r="G70" s="4" t="n">
        <v>0.102</v>
      </c>
      <c r="H70" s="4" t="n">
        <v>20</v>
      </c>
      <c r="I70" s="4" t="n">
        <v>99</v>
      </c>
      <c r="J70" s="4" t="n">
        <v>19.01</v>
      </c>
      <c r="K70" s="4" t="n">
        <v>1</v>
      </c>
      <c r="L70" s="4" t="n">
        <v>3.2</v>
      </c>
      <c r="M70" s="4" t="n">
        <v>685379.08</v>
      </c>
      <c r="N70" s="4" t="n">
        <v>106898.82</v>
      </c>
    </row>
    <row r="71" customFormat="false" ht="15" hidden="false" customHeight="false" outlineLevel="0" collapsed="false">
      <c r="A71" s="4" t="s">
        <v>43</v>
      </c>
      <c r="B71" s="4" t="s">
        <v>21</v>
      </c>
      <c r="C71" s="4" t="s">
        <v>32</v>
      </c>
      <c r="D71" s="4" t="s">
        <v>23</v>
      </c>
      <c r="E71" s="4" t="n">
        <v>42018.4</v>
      </c>
      <c r="F71" s="4" t="n">
        <v>8296</v>
      </c>
      <c r="G71" s="4" t="n">
        <v>0.115</v>
      </c>
      <c r="H71" s="4" t="n">
        <v>17</v>
      </c>
      <c r="I71" s="4" t="n">
        <v>91.8</v>
      </c>
      <c r="J71" s="4" t="n">
        <v>0.77</v>
      </c>
      <c r="K71" s="4" t="n">
        <v>0</v>
      </c>
      <c r="L71" s="4" t="n">
        <v>3.4</v>
      </c>
      <c r="M71" s="4" t="n">
        <v>740496.65</v>
      </c>
      <c r="N71" s="4" t="n">
        <v>128020.9</v>
      </c>
    </row>
    <row r="72" customFormat="false" ht="15" hidden="false" customHeight="false" outlineLevel="0" collapsed="false">
      <c r="A72" s="4" t="s">
        <v>44</v>
      </c>
      <c r="B72" s="4" t="s">
        <v>16</v>
      </c>
      <c r="C72" s="4" t="s">
        <v>17</v>
      </c>
      <c r="D72" s="4" t="s">
        <v>23</v>
      </c>
      <c r="E72" s="4" t="n">
        <v>70937.24</v>
      </c>
      <c r="F72" s="4" t="n">
        <v>3595</v>
      </c>
      <c r="G72" s="4" t="n">
        <v>0.141</v>
      </c>
      <c r="H72" s="4" t="n">
        <v>11</v>
      </c>
      <c r="I72" s="4" t="n">
        <v>88.9</v>
      </c>
      <c r="J72" s="4" t="n">
        <v>2.83</v>
      </c>
      <c r="K72" s="4" t="n">
        <v>1</v>
      </c>
      <c r="L72" s="4" t="n">
        <v>3.3</v>
      </c>
      <c r="M72" s="4" t="n">
        <v>661927.14</v>
      </c>
      <c r="N72" s="4" t="n">
        <v>79218.57</v>
      </c>
    </row>
    <row r="73" customFormat="false" ht="15" hidden="false" customHeight="false" outlineLevel="0" collapsed="false">
      <c r="A73" s="4" t="s">
        <v>44</v>
      </c>
      <c r="B73" s="4" t="s">
        <v>19</v>
      </c>
      <c r="C73" s="4" t="s">
        <v>17</v>
      </c>
      <c r="D73" s="4" t="s">
        <v>23</v>
      </c>
      <c r="E73" s="4" t="n">
        <v>36813.45</v>
      </c>
      <c r="F73" s="4" t="n">
        <v>2834</v>
      </c>
      <c r="G73" s="4" t="n">
        <v>0.191</v>
      </c>
      <c r="H73" s="4" t="n">
        <v>11</v>
      </c>
      <c r="I73" s="4" t="n">
        <v>81.8</v>
      </c>
      <c r="J73" s="4" t="n">
        <v>2.33</v>
      </c>
      <c r="K73" s="4" t="n">
        <v>0</v>
      </c>
      <c r="L73" s="4" t="n">
        <v>3.3</v>
      </c>
      <c r="M73" s="4" t="n">
        <v>479050.5</v>
      </c>
      <c r="N73" s="4" t="n">
        <v>53651.11</v>
      </c>
    </row>
    <row r="74" customFormat="false" ht="15" hidden="false" customHeight="false" outlineLevel="0" collapsed="false">
      <c r="A74" s="4" t="s">
        <v>44</v>
      </c>
      <c r="B74" s="4" t="s">
        <v>20</v>
      </c>
      <c r="C74" s="4" t="s">
        <v>17</v>
      </c>
      <c r="D74" s="4" t="s">
        <v>23</v>
      </c>
      <c r="E74" s="4" t="n">
        <v>60571.82</v>
      </c>
      <c r="F74" s="4" t="n">
        <v>3193</v>
      </c>
      <c r="G74" s="4" t="n">
        <v>0.197</v>
      </c>
      <c r="H74" s="4" t="n">
        <v>7</v>
      </c>
      <c r="I74" s="4" t="n">
        <v>99</v>
      </c>
      <c r="J74" s="4" t="n">
        <v>1.43</v>
      </c>
      <c r="K74" s="4" t="n">
        <v>0</v>
      </c>
      <c r="L74" s="4" t="n">
        <v>3.2</v>
      </c>
      <c r="M74" s="4" t="n">
        <v>605023.87</v>
      </c>
      <c r="N74" s="4" t="n">
        <v>98545.81</v>
      </c>
    </row>
    <row r="75" customFormat="false" ht="15" hidden="false" customHeight="false" outlineLevel="0" collapsed="false">
      <c r="A75" s="4" t="s">
        <v>44</v>
      </c>
      <c r="B75" s="4" t="s">
        <v>21</v>
      </c>
      <c r="C75" s="4" t="s">
        <v>17</v>
      </c>
      <c r="D75" s="4" t="s">
        <v>23</v>
      </c>
      <c r="E75" s="4" t="n">
        <v>55081.16</v>
      </c>
      <c r="F75" s="4" t="n">
        <v>5485</v>
      </c>
      <c r="G75" s="4" t="n">
        <v>0.036</v>
      </c>
      <c r="H75" s="4" t="n">
        <v>12</v>
      </c>
      <c r="I75" s="4" t="n">
        <v>88</v>
      </c>
      <c r="J75" s="4"/>
      <c r="K75" s="4" t="n">
        <v>0</v>
      </c>
      <c r="L75" s="4" t="n">
        <v>3.5</v>
      </c>
      <c r="M75" s="4" t="n">
        <v>674774.09</v>
      </c>
      <c r="N75" s="4" t="n">
        <v>141917.59</v>
      </c>
    </row>
    <row r="76" customFormat="false" ht="15" hidden="false" customHeight="false" outlineLevel="0" collapsed="false">
      <c r="A76" s="4" t="s">
        <v>45</v>
      </c>
      <c r="B76" s="4" t="s">
        <v>16</v>
      </c>
      <c r="C76" s="4" t="s">
        <v>17</v>
      </c>
      <c r="D76" s="4" t="s">
        <v>18</v>
      </c>
      <c r="E76" s="4" t="n">
        <v>46201.46</v>
      </c>
      <c r="F76" s="4" t="n">
        <v>5918</v>
      </c>
      <c r="G76" s="4" t="n">
        <v>0.277</v>
      </c>
      <c r="H76" s="4" t="n">
        <v>13</v>
      </c>
      <c r="I76" s="4" t="n">
        <v>78.8</v>
      </c>
      <c r="J76" s="4" t="n">
        <v>4.91</v>
      </c>
      <c r="K76" s="4" t="n">
        <v>0</v>
      </c>
      <c r="L76" s="4" t="n">
        <v>4.5</v>
      </c>
      <c r="M76" s="4" t="n">
        <v>616069.41</v>
      </c>
      <c r="N76" s="4" t="n">
        <v>54453.99</v>
      </c>
    </row>
    <row r="77" customFormat="false" ht="15" hidden="false" customHeight="false" outlineLevel="0" collapsed="false">
      <c r="A77" s="4" t="s">
        <v>45</v>
      </c>
      <c r="B77" s="4" t="s">
        <v>19</v>
      </c>
      <c r="C77" s="4" t="s">
        <v>17</v>
      </c>
      <c r="D77" s="4" t="s">
        <v>18</v>
      </c>
      <c r="E77" s="4" t="n">
        <v>53762.92</v>
      </c>
      <c r="F77" s="4" t="n">
        <v>6821</v>
      </c>
      <c r="G77" s="4" t="n">
        <v>0.066</v>
      </c>
      <c r="H77" s="4" t="n">
        <v>19</v>
      </c>
      <c r="I77" s="4" t="n">
        <v>94.6</v>
      </c>
      <c r="J77" s="4" t="n">
        <v>7.03</v>
      </c>
      <c r="K77" s="4" t="n">
        <v>0</v>
      </c>
      <c r="L77" s="4" t="n">
        <v>4.4</v>
      </c>
      <c r="M77" s="4" t="n">
        <v>630829.94</v>
      </c>
      <c r="N77" s="4" t="n">
        <v>117090.02</v>
      </c>
    </row>
    <row r="78" customFormat="false" ht="15" hidden="false" customHeight="false" outlineLevel="0" collapsed="false">
      <c r="A78" s="4" t="s">
        <v>45</v>
      </c>
      <c r="B78" s="4" t="s">
        <v>20</v>
      </c>
      <c r="C78" s="4" t="s">
        <v>17</v>
      </c>
      <c r="D78" s="4" t="s">
        <v>18</v>
      </c>
      <c r="E78" s="4" t="n">
        <v>70144.78</v>
      </c>
      <c r="F78" s="4" t="n">
        <v>6806</v>
      </c>
      <c r="G78" s="4" t="n">
        <v>0.178</v>
      </c>
      <c r="H78" s="4" t="n">
        <v>20</v>
      </c>
      <c r="I78" s="4" t="n">
        <v>93.1</v>
      </c>
      <c r="J78" s="4" t="n">
        <v>0.28</v>
      </c>
      <c r="K78" s="4" t="n">
        <v>1</v>
      </c>
      <c r="L78" s="4" t="n">
        <v>4.3</v>
      </c>
      <c r="M78" s="4" t="n">
        <v>788087.68</v>
      </c>
      <c r="N78" s="4" t="n">
        <v>116803.42</v>
      </c>
    </row>
    <row r="79" customFormat="false" ht="15" hidden="false" customHeight="false" outlineLevel="0" collapsed="false">
      <c r="A79" s="4" t="s">
        <v>45</v>
      </c>
      <c r="B79" s="4" t="s">
        <v>21</v>
      </c>
      <c r="C79" s="4" t="s">
        <v>17</v>
      </c>
      <c r="D79" s="4" t="s">
        <v>18</v>
      </c>
      <c r="E79" s="4" t="n">
        <v>58749.63</v>
      </c>
      <c r="F79" s="4" t="n">
        <v>8252</v>
      </c>
      <c r="G79" s="4" t="n">
        <v>0.203</v>
      </c>
      <c r="H79" s="4" t="n">
        <v>20</v>
      </c>
      <c r="I79" s="4" t="n">
        <v>85.2</v>
      </c>
      <c r="J79" s="4" t="n">
        <v>3.61</v>
      </c>
      <c r="K79" s="4" t="n">
        <v>0</v>
      </c>
      <c r="L79" s="4" t="n">
        <v>4.5</v>
      </c>
      <c r="M79" s="4" t="n">
        <v>680840.36</v>
      </c>
      <c r="N79" s="4" t="n">
        <v>68007.68</v>
      </c>
    </row>
    <row r="80" customFormat="false" ht="15" hidden="false" customHeight="false" outlineLevel="0" collapsed="false">
      <c r="A80" s="4" t="s">
        <v>46</v>
      </c>
      <c r="B80" s="4" t="s">
        <v>16</v>
      </c>
      <c r="C80" s="4" t="s">
        <v>29</v>
      </c>
      <c r="D80" s="4" t="s">
        <v>23</v>
      </c>
      <c r="E80" s="4" t="n">
        <v>56973.18</v>
      </c>
      <c r="F80" s="4" t="n">
        <v>6662</v>
      </c>
      <c r="G80" s="4" t="n">
        <v>0.1</v>
      </c>
      <c r="H80" s="4" t="n">
        <v>15</v>
      </c>
      <c r="I80" s="4" t="n">
        <v>77.7</v>
      </c>
      <c r="J80" s="4" t="n">
        <v>7.52</v>
      </c>
      <c r="K80" s="4" t="n">
        <v>1</v>
      </c>
      <c r="L80" s="4" t="n">
        <v>3.2</v>
      </c>
      <c r="M80" s="4" t="n">
        <v>643657.47</v>
      </c>
      <c r="N80" s="4" t="n">
        <v>87022.45</v>
      </c>
    </row>
    <row r="81" customFormat="false" ht="15" hidden="false" customHeight="false" outlineLevel="0" collapsed="false">
      <c r="A81" s="4" t="s">
        <v>46</v>
      </c>
      <c r="B81" s="4" t="s">
        <v>19</v>
      </c>
      <c r="C81" s="4" t="s">
        <v>29</v>
      </c>
      <c r="D81" s="4" t="s">
        <v>23</v>
      </c>
      <c r="E81" s="4" t="n">
        <v>54872.82</v>
      </c>
      <c r="F81" s="4" t="n">
        <v>5962</v>
      </c>
      <c r="G81" s="4" t="n">
        <v>0.064</v>
      </c>
      <c r="H81" s="4" t="n">
        <v>12</v>
      </c>
      <c r="I81" s="4" t="n">
        <v>85.4</v>
      </c>
      <c r="J81" s="4" t="n">
        <v>2.58</v>
      </c>
      <c r="K81" s="4" t="n">
        <v>0</v>
      </c>
      <c r="L81" s="4" t="n">
        <v>2.9</v>
      </c>
      <c r="M81" s="4" t="n">
        <v>691112.6</v>
      </c>
      <c r="N81" s="4" t="n">
        <v>109212.83</v>
      </c>
    </row>
    <row r="82" customFormat="false" ht="15" hidden="false" customHeight="false" outlineLevel="0" collapsed="false">
      <c r="A82" s="4" t="s">
        <v>46</v>
      </c>
      <c r="B82" s="4" t="s">
        <v>20</v>
      </c>
      <c r="C82" s="4" t="s">
        <v>29</v>
      </c>
      <c r="D82" s="4" t="s">
        <v>23</v>
      </c>
      <c r="E82" s="4" t="n">
        <v>80562.81</v>
      </c>
      <c r="F82" s="4" t="n">
        <v>7470</v>
      </c>
      <c r="G82" s="4" t="n">
        <v>0.172</v>
      </c>
      <c r="H82" s="4" t="n">
        <v>16</v>
      </c>
      <c r="I82" s="4" t="n">
        <v>83.5</v>
      </c>
      <c r="J82" s="4" t="n">
        <v>2.29</v>
      </c>
      <c r="K82" s="4" t="n">
        <v>0</v>
      </c>
      <c r="L82" s="4" t="n">
        <v>3.3</v>
      </c>
      <c r="M82" s="4" t="n">
        <v>776922.17</v>
      </c>
      <c r="N82" s="4" t="n">
        <v>150701.93</v>
      </c>
    </row>
    <row r="83" customFormat="false" ht="15" hidden="false" customHeight="false" outlineLevel="0" collapsed="false">
      <c r="A83" s="4" t="s">
        <v>46</v>
      </c>
      <c r="B83" s="4" t="s">
        <v>21</v>
      </c>
      <c r="C83" s="4" t="s">
        <v>29</v>
      </c>
      <c r="D83" s="4" t="s">
        <v>23</v>
      </c>
      <c r="E83" s="4" t="n">
        <v>77999.9</v>
      </c>
      <c r="F83" s="4" t="n">
        <v>5974</v>
      </c>
      <c r="G83" s="4" t="n">
        <v>0.252</v>
      </c>
      <c r="H83" s="4" t="n">
        <v>14</v>
      </c>
      <c r="I83" s="4" t="n">
        <v>81.3</v>
      </c>
      <c r="J83" s="4" t="n">
        <v>2.39</v>
      </c>
      <c r="K83" s="4" t="n">
        <v>0</v>
      </c>
      <c r="L83" s="4" t="n">
        <v>3.2</v>
      </c>
      <c r="M83" s="4" t="n">
        <v>636561.34</v>
      </c>
      <c r="N83" s="4" t="n">
        <v>93861.06</v>
      </c>
    </row>
    <row r="84" customFormat="false" ht="15" hidden="false" customHeight="false" outlineLevel="0" collapsed="false">
      <c r="A84" s="4" t="s">
        <v>47</v>
      </c>
      <c r="B84" s="4" t="s">
        <v>16</v>
      </c>
      <c r="C84" s="4" t="s">
        <v>32</v>
      </c>
      <c r="D84" s="4" t="s">
        <v>33</v>
      </c>
      <c r="E84" s="4" t="n">
        <v>60881.01</v>
      </c>
      <c r="F84" s="4" t="n">
        <v>5410</v>
      </c>
      <c r="G84" s="4" t="n">
        <v>0.179</v>
      </c>
      <c r="H84" s="4" t="n">
        <v>15</v>
      </c>
      <c r="I84" s="4" t="n">
        <v>83.9</v>
      </c>
      <c r="J84" s="4" t="n">
        <v>5.24</v>
      </c>
      <c r="K84" s="4" t="n">
        <v>0</v>
      </c>
      <c r="L84" s="4" t="n">
        <v>4.6</v>
      </c>
      <c r="M84" s="4" t="n">
        <v>621369.58</v>
      </c>
      <c r="N84" s="4" t="n">
        <v>85493.64</v>
      </c>
    </row>
    <row r="85" customFormat="false" ht="15" hidden="false" customHeight="false" outlineLevel="0" collapsed="false">
      <c r="A85" s="4" t="s">
        <v>47</v>
      </c>
      <c r="B85" s="4" t="s">
        <v>19</v>
      </c>
      <c r="C85" s="4" t="s">
        <v>32</v>
      </c>
      <c r="D85" s="4" t="s">
        <v>33</v>
      </c>
      <c r="E85" s="4" t="n">
        <v>60628.38</v>
      </c>
      <c r="F85" s="4" t="n">
        <v>4451</v>
      </c>
      <c r="G85" s="4" t="n">
        <v>0.095</v>
      </c>
      <c r="H85" s="4" t="n">
        <v>10</v>
      </c>
      <c r="I85" s="4" t="n">
        <v>89.6</v>
      </c>
      <c r="J85" s="4" t="n">
        <v>3.17</v>
      </c>
      <c r="K85" s="4" t="n">
        <v>0</v>
      </c>
      <c r="L85" s="4" t="n">
        <v>4.6</v>
      </c>
      <c r="M85" s="4" t="n">
        <v>682208.01</v>
      </c>
      <c r="N85" s="4" t="n">
        <v>110318.84</v>
      </c>
    </row>
    <row r="86" customFormat="false" ht="15" hidden="false" customHeight="false" outlineLevel="0" collapsed="false">
      <c r="A86" s="4" t="s">
        <v>47</v>
      </c>
      <c r="B86" s="4" t="s">
        <v>20</v>
      </c>
      <c r="C86" s="4" t="s">
        <v>32</v>
      </c>
      <c r="D86" s="4" t="s">
        <v>33</v>
      </c>
      <c r="E86" s="4" t="n">
        <v>72731.14</v>
      </c>
      <c r="F86" s="4" t="n">
        <v>4644</v>
      </c>
      <c r="G86" s="4" t="n">
        <v>0.084</v>
      </c>
      <c r="H86" s="4" t="n">
        <v>15</v>
      </c>
      <c r="I86" s="4" t="n">
        <v>87.1</v>
      </c>
      <c r="J86" s="4" t="n">
        <v>2.66</v>
      </c>
      <c r="K86" s="4" t="n">
        <v>0</v>
      </c>
      <c r="L86" s="4" t="n">
        <v>4.6</v>
      </c>
      <c r="M86" s="4" t="n">
        <v>727241.86</v>
      </c>
      <c r="N86" s="4" t="n">
        <v>155810.3</v>
      </c>
    </row>
    <row r="87" customFormat="false" ht="15" hidden="false" customHeight="false" outlineLevel="0" collapsed="false">
      <c r="A87" s="4" t="s">
        <v>47</v>
      </c>
      <c r="B87" s="4" t="s">
        <v>21</v>
      </c>
      <c r="C87" s="4" t="s">
        <v>32</v>
      </c>
      <c r="D87" s="4" t="s">
        <v>33</v>
      </c>
      <c r="E87" s="4" t="n">
        <v>36475.71</v>
      </c>
      <c r="F87" s="4" t="n">
        <v>3559</v>
      </c>
      <c r="G87" s="4" t="n">
        <v>0.03</v>
      </c>
      <c r="H87" s="4" t="n">
        <v>8</v>
      </c>
      <c r="I87" s="4" t="n">
        <v>83.6</v>
      </c>
      <c r="J87" s="4" t="n">
        <v>1.41</v>
      </c>
      <c r="K87" s="4" t="n">
        <v>0</v>
      </c>
      <c r="L87" s="4" t="n">
        <v>4.2</v>
      </c>
      <c r="M87" s="4" t="n">
        <v>569100.78</v>
      </c>
      <c r="N87" s="4" t="n">
        <v>104808.78</v>
      </c>
    </row>
    <row r="88" customFormat="false" ht="15" hidden="false" customHeight="false" outlineLevel="0" collapsed="false">
      <c r="A88" s="4" t="s">
        <v>48</v>
      </c>
      <c r="B88" s="4" t="s">
        <v>16</v>
      </c>
      <c r="C88" s="4" t="s">
        <v>32</v>
      </c>
      <c r="D88" s="4" t="s">
        <v>23</v>
      </c>
      <c r="E88" s="4" t="n">
        <v>55388.11</v>
      </c>
      <c r="F88" s="4" t="n">
        <v>3091</v>
      </c>
      <c r="G88" s="4" t="n">
        <v>0.108</v>
      </c>
      <c r="H88" s="4" t="n">
        <v>7</v>
      </c>
      <c r="I88" s="4" t="n">
        <v>85.4</v>
      </c>
      <c r="J88" s="4" t="n">
        <v>7.34</v>
      </c>
      <c r="K88" s="4" t="n">
        <v>0</v>
      </c>
      <c r="L88" s="4" t="n">
        <v>4.9</v>
      </c>
      <c r="M88" s="4" t="n">
        <v>574436.29</v>
      </c>
      <c r="N88" s="4" t="n">
        <v>80271.99</v>
      </c>
    </row>
    <row r="89" customFormat="false" ht="15" hidden="false" customHeight="false" outlineLevel="0" collapsed="false">
      <c r="A89" s="4" t="s">
        <v>48</v>
      </c>
      <c r="B89" s="4" t="s">
        <v>19</v>
      </c>
      <c r="C89" s="4" t="s">
        <v>32</v>
      </c>
      <c r="D89" s="4" t="s">
        <v>23</v>
      </c>
      <c r="E89" s="4" t="n">
        <v>88443.77</v>
      </c>
      <c r="F89" s="4" t="n">
        <v>4004</v>
      </c>
      <c r="G89" s="4" t="n">
        <v>0.206</v>
      </c>
      <c r="H89" s="4" t="n">
        <v>11</v>
      </c>
      <c r="I89" s="4" t="n">
        <v>91.9</v>
      </c>
      <c r="J89" s="4" t="n">
        <v>5.95</v>
      </c>
      <c r="K89" s="4" t="n">
        <v>0</v>
      </c>
      <c r="L89" s="4"/>
      <c r="M89" s="4" t="n">
        <v>611766.72</v>
      </c>
      <c r="N89" s="4" t="n">
        <v>88275.61</v>
      </c>
    </row>
    <row r="90" customFormat="false" ht="15" hidden="false" customHeight="false" outlineLevel="0" collapsed="false">
      <c r="A90" s="4" t="s">
        <v>48</v>
      </c>
      <c r="B90" s="4" t="s">
        <v>20</v>
      </c>
      <c r="C90" s="4" t="s">
        <v>32</v>
      </c>
      <c r="D90" s="4" t="s">
        <v>23</v>
      </c>
      <c r="E90" s="4" t="n">
        <v>78231.91</v>
      </c>
      <c r="F90" s="4" t="n">
        <v>3788</v>
      </c>
      <c r="G90" s="4" t="n">
        <v>0.059</v>
      </c>
      <c r="H90" s="4" t="n">
        <v>11</v>
      </c>
      <c r="I90" s="4" t="n">
        <v>88.5</v>
      </c>
      <c r="J90" s="4" t="n">
        <v>15.51</v>
      </c>
      <c r="K90" s="4" t="n">
        <v>0</v>
      </c>
      <c r="L90" s="4" t="n">
        <v>4.3</v>
      </c>
      <c r="M90" s="4" t="n">
        <v>614596.32</v>
      </c>
      <c r="N90" s="4" t="n">
        <v>131199.41</v>
      </c>
    </row>
    <row r="91" customFormat="false" ht="15" hidden="false" customHeight="false" outlineLevel="0" collapsed="false">
      <c r="A91" s="4" t="s">
        <v>48</v>
      </c>
      <c r="B91" s="4" t="s">
        <v>21</v>
      </c>
      <c r="C91" s="4" t="s">
        <v>32</v>
      </c>
      <c r="D91" s="4" t="s">
        <v>23</v>
      </c>
      <c r="E91" s="4" t="n">
        <v>18996.32</v>
      </c>
      <c r="F91" s="4" t="n">
        <v>1260</v>
      </c>
      <c r="G91" s="4" t="n">
        <v>0.145</v>
      </c>
      <c r="H91" s="4" t="n">
        <v>9</v>
      </c>
      <c r="I91" s="4" t="n">
        <v>86.4</v>
      </c>
      <c r="J91" s="4" t="n">
        <v>4.31</v>
      </c>
      <c r="K91" s="4" t="n">
        <v>0</v>
      </c>
      <c r="L91" s="4" t="n">
        <v>4.6</v>
      </c>
      <c r="M91" s="4" t="n">
        <v>450711.92</v>
      </c>
      <c r="N91" s="4" t="n">
        <v>90043.76</v>
      </c>
    </row>
    <row r="92" customFormat="false" ht="15" hidden="false" customHeight="false" outlineLevel="0" collapsed="false">
      <c r="A92" s="4" t="s">
        <v>49</v>
      </c>
      <c r="B92" s="4" t="s">
        <v>16</v>
      </c>
      <c r="C92" s="4" t="s">
        <v>29</v>
      </c>
      <c r="D92" s="4" t="s">
        <v>33</v>
      </c>
      <c r="E92" s="4" t="n">
        <v>50517.94</v>
      </c>
      <c r="F92" s="4" t="n">
        <v>7024</v>
      </c>
      <c r="G92" s="4" t="n">
        <v>0.029</v>
      </c>
      <c r="H92" s="4" t="n">
        <v>18</v>
      </c>
      <c r="I92" s="4" t="n">
        <v>79.2</v>
      </c>
      <c r="J92" s="4" t="n">
        <v>6.61</v>
      </c>
      <c r="K92" s="4" t="n">
        <v>1</v>
      </c>
      <c r="L92" s="4" t="n">
        <v>4.1</v>
      </c>
      <c r="M92" s="4" t="n">
        <v>711213.46</v>
      </c>
      <c r="N92" s="4" t="n">
        <v>105863.26</v>
      </c>
    </row>
    <row r="93" customFormat="false" ht="15" hidden="false" customHeight="false" outlineLevel="0" collapsed="false">
      <c r="A93" s="4" t="s">
        <v>49</v>
      </c>
      <c r="B93" s="4" t="s">
        <v>19</v>
      </c>
      <c r="C93" s="4" t="s">
        <v>29</v>
      </c>
      <c r="D93" s="4" t="s">
        <v>33</v>
      </c>
      <c r="E93" s="4" t="n">
        <v>141540.29</v>
      </c>
      <c r="F93" s="4" t="n">
        <v>5400</v>
      </c>
      <c r="G93" s="4" t="n">
        <v>0.013</v>
      </c>
      <c r="H93" s="4" t="n">
        <v>12</v>
      </c>
      <c r="I93" s="4" t="n">
        <v>87</v>
      </c>
      <c r="J93" s="4" t="n">
        <v>4.26</v>
      </c>
      <c r="K93" s="4" t="n">
        <v>0</v>
      </c>
      <c r="L93" s="4" t="n">
        <v>4.5</v>
      </c>
      <c r="M93" s="4" t="n">
        <v>627171.9</v>
      </c>
      <c r="N93" s="4" t="n">
        <v>105772.75</v>
      </c>
    </row>
    <row r="94" customFormat="false" ht="15" hidden="false" customHeight="false" outlineLevel="0" collapsed="false">
      <c r="A94" s="4" t="s">
        <v>49</v>
      </c>
      <c r="B94" s="4" t="s">
        <v>20</v>
      </c>
      <c r="C94" s="4" t="s">
        <v>29</v>
      </c>
      <c r="D94" s="4" t="s">
        <v>33</v>
      </c>
      <c r="E94" s="4" t="n">
        <v>82116.19</v>
      </c>
      <c r="F94" s="4" t="n">
        <v>5988</v>
      </c>
      <c r="G94" s="4" t="n">
        <v>0.04</v>
      </c>
      <c r="H94" s="4" t="n">
        <v>17</v>
      </c>
      <c r="I94" s="4" t="n">
        <v>91.8</v>
      </c>
      <c r="J94" s="4" t="n">
        <v>5.75</v>
      </c>
      <c r="K94" s="4" t="n">
        <v>0</v>
      </c>
      <c r="L94" s="4" t="n">
        <v>4.7</v>
      </c>
      <c r="M94" s="4" t="n">
        <v>739852.58</v>
      </c>
      <c r="N94" s="4" t="n">
        <v>129386.43</v>
      </c>
    </row>
    <row r="95" customFormat="false" ht="15" hidden="false" customHeight="false" outlineLevel="0" collapsed="false">
      <c r="A95" s="4" t="s">
        <v>49</v>
      </c>
      <c r="B95" s="4" t="s">
        <v>21</v>
      </c>
      <c r="C95" s="4" t="s">
        <v>29</v>
      </c>
      <c r="D95" s="4" t="s">
        <v>33</v>
      </c>
      <c r="E95" s="4" t="n">
        <v>31207.51</v>
      </c>
      <c r="F95" s="4" t="n">
        <v>3701</v>
      </c>
      <c r="G95" s="4" t="n">
        <v>0.043</v>
      </c>
      <c r="H95" s="4" t="n">
        <v>11</v>
      </c>
      <c r="I95" s="4" t="n">
        <v>84.7</v>
      </c>
      <c r="J95" s="4" t="n">
        <v>0.33</v>
      </c>
      <c r="K95" s="4" t="n">
        <v>0</v>
      </c>
      <c r="L95" s="4" t="n">
        <v>4.3</v>
      </c>
      <c r="M95" s="4" t="n">
        <v>586307.22</v>
      </c>
      <c r="N95" s="4" t="n">
        <v>73927.85</v>
      </c>
    </row>
    <row r="96" customFormat="false" ht="15" hidden="false" customHeight="false" outlineLevel="0" collapsed="false">
      <c r="A96" s="4" t="s">
        <v>50</v>
      </c>
      <c r="B96" s="4" t="s">
        <v>16</v>
      </c>
      <c r="C96" s="4" t="s">
        <v>32</v>
      </c>
      <c r="D96" s="4" t="s">
        <v>18</v>
      </c>
      <c r="E96" s="4" t="n">
        <v>38966.59</v>
      </c>
      <c r="F96" s="4" t="n">
        <v>4509</v>
      </c>
      <c r="G96" s="4" t="n">
        <v>0.194</v>
      </c>
      <c r="H96" s="4" t="n">
        <v>14</v>
      </c>
      <c r="I96" s="4" t="n">
        <v>91.1</v>
      </c>
      <c r="J96" s="4" t="n">
        <v>2.92</v>
      </c>
      <c r="K96" s="4" t="n">
        <v>0</v>
      </c>
      <c r="L96" s="4" t="n">
        <v>4.6</v>
      </c>
      <c r="M96" s="4" t="n">
        <v>585937.48</v>
      </c>
      <c r="N96" s="4" t="n">
        <v>82624.2</v>
      </c>
    </row>
    <row r="97" customFormat="false" ht="15" hidden="false" customHeight="false" outlineLevel="0" collapsed="false">
      <c r="A97" s="4" t="s">
        <v>50</v>
      </c>
      <c r="B97" s="4" t="s">
        <v>19</v>
      </c>
      <c r="C97" s="4" t="s">
        <v>32</v>
      </c>
      <c r="D97" s="4" t="s">
        <v>18</v>
      </c>
      <c r="E97" s="4" t="n">
        <v>67439.3</v>
      </c>
      <c r="F97" s="4" t="n">
        <v>6477</v>
      </c>
      <c r="G97" s="4" t="n">
        <v>0</v>
      </c>
      <c r="H97" s="4" t="n">
        <v>16</v>
      </c>
      <c r="I97" s="4" t="n">
        <v>90.9</v>
      </c>
      <c r="J97" s="4" t="n">
        <v>1.64</v>
      </c>
      <c r="K97" s="4" t="n">
        <v>0</v>
      </c>
      <c r="L97" s="4" t="n">
        <v>4.5</v>
      </c>
      <c r="M97" s="4" t="n">
        <v>753473.55</v>
      </c>
      <c r="N97" s="4" t="n">
        <v>151527.22</v>
      </c>
    </row>
    <row r="98" customFormat="false" ht="15" hidden="false" customHeight="false" outlineLevel="0" collapsed="false">
      <c r="A98" s="4" t="s">
        <v>50</v>
      </c>
      <c r="B98" s="4" t="s">
        <v>20</v>
      </c>
      <c r="C98" s="4" t="s">
        <v>32</v>
      </c>
      <c r="D98" s="4" t="s">
        <v>18</v>
      </c>
      <c r="E98" s="4" t="n">
        <v>86421.88</v>
      </c>
      <c r="F98" s="4" t="n">
        <v>7970</v>
      </c>
      <c r="G98" s="4" t="n">
        <v>0.073</v>
      </c>
      <c r="H98" s="4" t="n">
        <v>17</v>
      </c>
      <c r="I98" s="4" t="n">
        <v>91.3</v>
      </c>
      <c r="J98" s="4" t="n">
        <v>0.8</v>
      </c>
      <c r="K98" s="4" t="n">
        <v>0</v>
      </c>
      <c r="L98" s="4" t="n">
        <v>5</v>
      </c>
      <c r="M98" s="4" t="n">
        <v>838250.32</v>
      </c>
      <c r="N98" s="4" t="n">
        <v>122939.34</v>
      </c>
    </row>
    <row r="99" customFormat="false" ht="15" hidden="false" customHeight="false" outlineLevel="0" collapsed="false">
      <c r="A99" s="4" t="s">
        <v>50</v>
      </c>
      <c r="B99" s="4" t="s">
        <v>21</v>
      </c>
      <c r="C99" s="4" t="s">
        <v>32</v>
      </c>
      <c r="D99" s="4" t="s">
        <v>18</v>
      </c>
      <c r="E99" s="4" t="n">
        <v>9534.65</v>
      </c>
      <c r="F99" s="4" t="n">
        <v>6057</v>
      </c>
      <c r="G99" s="4" t="n">
        <v>0.074</v>
      </c>
      <c r="H99" s="4" t="n">
        <v>15</v>
      </c>
      <c r="I99" s="4" t="n">
        <v>94.1</v>
      </c>
      <c r="J99" s="4" t="n">
        <v>5.79</v>
      </c>
      <c r="K99" s="4" t="n">
        <v>0</v>
      </c>
      <c r="L99" s="4" t="n">
        <v>4.5</v>
      </c>
      <c r="M99" s="4" t="n">
        <v>607898.12</v>
      </c>
      <c r="N99" s="4" t="n">
        <v>135404.85</v>
      </c>
    </row>
    <row r="100" customFormat="false" ht="15" hidden="false" customHeight="false" outlineLevel="0" collapsed="false">
      <c r="A100" s="4" t="s">
        <v>51</v>
      </c>
      <c r="B100" s="4" t="s">
        <v>16</v>
      </c>
      <c r="C100" s="4" t="s">
        <v>32</v>
      </c>
      <c r="D100" s="4" t="s">
        <v>33</v>
      </c>
      <c r="E100" s="4" t="n">
        <v>61132.07</v>
      </c>
      <c r="F100" s="4" t="n">
        <v>6394</v>
      </c>
      <c r="G100" s="4" t="n">
        <v>0.163</v>
      </c>
      <c r="H100" s="4" t="n">
        <v>19</v>
      </c>
      <c r="I100" s="4" t="n">
        <v>91</v>
      </c>
      <c r="J100" s="4" t="n">
        <v>19.6</v>
      </c>
      <c r="K100" s="4" t="n">
        <v>0</v>
      </c>
      <c r="L100" s="4" t="n">
        <v>4.4</v>
      </c>
      <c r="M100" s="4" t="n">
        <v>691113.62</v>
      </c>
      <c r="N100" s="4" t="n">
        <v>135145.44</v>
      </c>
    </row>
    <row r="101" customFormat="false" ht="15" hidden="false" customHeight="false" outlineLevel="0" collapsed="false">
      <c r="A101" s="4" t="s">
        <v>51</v>
      </c>
      <c r="B101" s="4" t="s">
        <v>19</v>
      </c>
      <c r="C101" s="4" t="s">
        <v>32</v>
      </c>
      <c r="D101" s="4" t="s">
        <v>33</v>
      </c>
      <c r="E101" s="4" t="n">
        <v>78839.39</v>
      </c>
      <c r="F101" s="4" t="n">
        <v>5150</v>
      </c>
      <c r="G101" s="4" t="n">
        <v>0.171</v>
      </c>
      <c r="H101" s="4" t="n">
        <v>13</v>
      </c>
      <c r="I101" s="4" t="n">
        <v>85.8</v>
      </c>
      <c r="J101" s="4" t="n">
        <v>7.57</v>
      </c>
      <c r="K101" s="4" t="n">
        <v>0</v>
      </c>
      <c r="L101" s="4" t="n">
        <v>4.3</v>
      </c>
      <c r="M101" s="4" t="n">
        <v>735509.4</v>
      </c>
      <c r="N101" s="4" t="n">
        <v>83895.96</v>
      </c>
    </row>
    <row r="102" customFormat="false" ht="15" hidden="false" customHeight="false" outlineLevel="0" collapsed="false">
      <c r="A102" s="4" t="s">
        <v>51</v>
      </c>
      <c r="B102" s="4" t="s">
        <v>20</v>
      </c>
      <c r="C102" s="4" t="s">
        <v>32</v>
      </c>
      <c r="D102" s="4" t="s">
        <v>33</v>
      </c>
      <c r="E102" s="4" t="n">
        <v>38752.8</v>
      </c>
      <c r="F102" s="4" t="n">
        <v>4712</v>
      </c>
      <c r="G102" s="4" t="n">
        <v>0.075</v>
      </c>
      <c r="H102" s="4" t="n">
        <v>15</v>
      </c>
      <c r="I102" s="4" t="n">
        <v>89.7</v>
      </c>
      <c r="J102" s="4"/>
      <c r="K102" s="4" t="n">
        <v>0</v>
      </c>
      <c r="L102" s="4" t="n">
        <v>4.3</v>
      </c>
      <c r="M102" s="4" t="n">
        <v>605775.33</v>
      </c>
      <c r="N102" s="4" t="n">
        <v>107194.6</v>
      </c>
    </row>
    <row r="103" customFormat="false" ht="15" hidden="false" customHeight="false" outlineLevel="0" collapsed="false">
      <c r="A103" s="4" t="s">
        <v>51</v>
      </c>
      <c r="B103" s="4" t="s">
        <v>21</v>
      </c>
      <c r="C103" s="4" t="s">
        <v>32</v>
      </c>
      <c r="D103" s="4" t="s">
        <v>33</v>
      </c>
      <c r="E103" s="4" t="n">
        <v>55101.1</v>
      </c>
      <c r="F103" s="4" t="n">
        <v>5281</v>
      </c>
      <c r="G103" s="4" t="n">
        <v>0.189</v>
      </c>
      <c r="H103" s="4" t="n">
        <v>11</v>
      </c>
      <c r="I103" s="4" t="n">
        <v>91</v>
      </c>
      <c r="J103" s="4" t="n">
        <v>2.7</v>
      </c>
      <c r="K103" s="4" t="n">
        <v>0</v>
      </c>
      <c r="L103" s="4" t="n">
        <v>4.4</v>
      </c>
      <c r="M103" s="4" t="n">
        <v>675177.68</v>
      </c>
      <c r="N103" s="4" t="n">
        <v>105628.68</v>
      </c>
    </row>
    <row r="104" customFormat="false" ht="15" hidden="false" customHeight="false" outlineLevel="0" collapsed="false">
      <c r="A104" s="4" t="s">
        <v>52</v>
      </c>
      <c r="B104" s="4" t="s">
        <v>16</v>
      </c>
      <c r="C104" s="4" t="s">
        <v>17</v>
      </c>
      <c r="D104" s="4" t="s">
        <v>33</v>
      </c>
      <c r="E104" s="4" t="n">
        <v>53084.76</v>
      </c>
      <c r="F104" s="4" t="n">
        <v>3642</v>
      </c>
      <c r="G104" s="4" t="n">
        <v>0.15</v>
      </c>
      <c r="H104" s="4" t="n">
        <v>12</v>
      </c>
      <c r="I104" s="4" t="n">
        <v>91.4</v>
      </c>
      <c r="J104" s="4" t="n">
        <v>0.2</v>
      </c>
      <c r="K104" s="4" t="n">
        <v>0</v>
      </c>
      <c r="L104" s="4" t="n">
        <v>4.4</v>
      </c>
      <c r="M104" s="4" t="n">
        <v>635181.35</v>
      </c>
      <c r="N104" s="4" t="n">
        <v>83341.25</v>
      </c>
    </row>
    <row r="105" customFormat="false" ht="15" hidden="false" customHeight="false" outlineLevel="0" collapsed="false">
      <c r="A105" s="4" t="s">
        <v>52</v>
      </c>
      <c r="B105" s="4" t="s">
        <v>19</v>
      </c>
      <c r="C105" s="4" t="s">
        <v>17</v>
      </c>
      <c r="D105" s="4" t="s">
        <v>33</v>
      </c>
      <c r="E105" s="4" t="n">
        <v>63101.59</v>
      </c>
      <c r="F105" s="4" t="n">
        <v>4373</v>
      </c>
      <c r="G105" s="4" t="n">
        <v>0.173</v>
      </c>
      <c r="H105" s="4" t="n">
        <v>14</v>
      </c>
      <c r="I105" s="4" t="n">
        <v>90.4</v>
      </c>
      <c r="J105" s="4" t="n">
        <v>7.87</v>
      </c>
      <c r="K105" s="4" t="n">
        <v>0</v>
      </c>
      <c r="L105" s="4" t="n">
        <v>4.7</v>
      </c>
      <c r="M105" s="4" t="n">
        <v>586626.94</v>
      </c>
      <c r="N105" s="4" t="n">
        <v>86498.55</v>
      </c>
    </row>
    <row r="106" customFormat="false" ht="15" hidden="false" customHeight="false" outlineLevel="0" collapsed="false">
      <c r="A106" s="4" t="s">
        <v>52</v>
      </c>
      <c r="B106" s="4" t="s">
        <v>20</v>
      </c>
      <c r="C106" s="4" t="s">
        <v>17</v>
      </c>
      <c r="D106" s="4" t="s">
        <v>33</v>
      </c>
      <c r="E106" s="4" t="n">
        <v>90084.4</v>
      </c>
      <c r="F106" s="4" t="n">
        <v>6832</v>
      </c>
      <c r="G106" s="4" t="n">
        <v>0.185</v>
      </c>
      <c r="H106" s="4" t="n">
        <v>14</v>
      </c>
      <c r="I106" s="4" t="n">
        <v>80.5</v>
      </c>
      <c r="J106" s="4" t="n">
        <v>0.77</v>
      </c>
      <c r="K106" s="4" t="n">
        <v>1</v>
      </c>
      <c r="L106" s="4" t="n">
        <v>4.4</v>
      </c>
      <c r="M106" s="4" t="n">
        <v>740102.64</v>
      </c>
      <c r="N106" s="4" t="n">
        <v>114299.07</v>
      </c>
    </row>
    <row r="107" customFormat="false" ht="15" hidden="false" customHeight="false" outlineLevel="0" collapsed="false">
      <c r="A107" s="4" t="s">
        <v>52</v>
      </c>
      <c r="B107" s="4" t="s">
        <v>21</v>
      </c>
      <c r="C107" s="4" t="s">
        <v>17</v>
      </c>
      <c r="D107" s="4" t="s">
        <v>33</v>
      </c>
      <c r="E107" s="4" t="n">
        <v>32266.64</v>
      </c>
      <c r="F107" s="4" t="n">
        <v>2414</v>
      </c>
      <c r="G107" s="4" t="n">
        <v>0.08</v>
      </c>
      <c r="H107" s="4" t="n">
        <v>7</v>
      </c>
      <c r="I107" s="4" t="n">
        <v>92.1</v>
      </c>
      <c r="J107" s="4" t="n">
        <v>1.48</v>
      </c>
      <c r="K107" s="4" t="n">
        <v>0</v>
      </c>
      <c r="L107" s="4" t="n">
        <v>5</v>
      </c>
      <c r="M107" s="4" t="n">
        <v>625514.04</v>
      </c>
      <c r="N107" s="4" t="n">
        <v>120685.08</v>
      </c>
    </row>
    <row r="108" customFormat="false" ht="15" hidden="false" customHeight="false" outlineLevel="0" collapsed="false">
      <c r="A108" s="4" t="s">
        <v>53</v>
      </c>
      <c r="B108" s="4" t="s">
        <v>16</v>
      </c>
      <c r="C108" s="4" t="s">
        <v>32</v>
      </c>
      <c r="D108" s="4" t="s">
        <v>23</v>
      </c>
      <c r="E108" s="4" t="n">
        <v>57919.07</v>
      </c>
      <c r="F108" s="4" t="n">
        <v>7374</v>
      </c>
      <c r="G108" s="4" t="n">
        <v>0.103</v>
      </c>
      <c r="H108" s="4" t="n">
        <v>21</v>
      </c>
      <c r="I108" s="4" t="n">
        <v>82.3</v>
      </c>
      <c r="J108" s="4" t="n">
        <v>2.87</v>
      </c>
      <c r="K108" s="4" t="n">
        <v>0</v>
      </c>
      <c r="L108" s="4" t="n">
        <v>2.9</v>
      </c>
      <c r="M108" s="4" t="n">
        <v>727227.2</v>
      </c>
      <c r="N108" s="4" t="n">
        <v>121292.01</v>
      </c>
    </row>
    <row r="109" customFormat="false" ht="15" hidden="false" customHeight="false" outlineLevel="0" collapsed="false">
      <c r="A109" s="4" t="s">
        <v>53</v>
      </c>
      <c r="B109" s="4" t="s">
        <v>19</v>
      </c>
      <c r="C109" s="4" t="s">
        <v>32</v>
      </c>
      <c r="D109" s="4" t="s">
        <v>23</v>
      </c>
      <c r="E109" s="4" t="n">
        <v>74679.35</v>
      </c>
      <c r="F109" s="4" t="n">
        <v>8739</v>
      </c>
      <c r="G109" s="4" t="n">
        <v>0.056</v>
      </c>
      <c r="H109" s="4" t="n">
        <v>21</v>
      </c>
      <c r="I109" s="4" t="n">
        <v>91.8</v>
      </c>
      <c r="J109" s="4" t="n">
        <v>2.83</v>
      </c>
      <c r="K109" s="4" t="n">
        <v>0</v>
      </c>
      <c r="L109" s="4" t="n">
        <v>3</v>
      </c>
      <c r="M109" s="4" t="n">
        <v>783797.89</v>
      </c>
      <c r="N109" s="4" t="n">
        <v>157620.7</v>
      </c>
    </row>
    <row r="110" customFormat="false" ht="15" hidden="false" customHeight="false" outlineLevel="0" collapsed="false">
      <c r="A110" s="4" t="s">
        <v>53</v>
      </c>
      <c r="B110" s="4" t="s">
        <v>20</v>
      </c>
      <c r="C110" s="4" t="s">
        <v>32</v>
      </c>
      <c r="D110" s="4" t="s">
        <v>23</v>
      </c>
      <c r="E110" s="4" t="n">
        <v>64294.23</v>
      </c>
      <c r="F110" s="4" t="n">
        <v>6992</v>
      </c>
      <c r="G110" s="4" t="n">
        <v>0.133</v>
      </c>
      <c r="H110" s="4" t="n">
        <v>14</v>
      </c>
      <c r="I110" s="4" t="n">
        <v>94.1</v>
      </c>
      <c r="J110" s="4" t="n">
        <v>0.25</v>
      </c>
      <c r="K110" s="4" t="n">
        <v>0</v>
      </c>
      <c r="L110" s="4" t="n">
        <v>3</v>
      </c>
      <c r="M110" s="4" t="n">
        <v>795153.84</v>
      </c>
      <c r="N110" s="4" t="n">
        <v>143194.21</v>
      </c>
    </row>
    <row r="111" customFormat="false" ht="15" hidden="false" customHeight="false" outlineLevel="0" collapsed="false">
      <c r="A111" s="4" t="s">
        <v>53</v>
      </c>
      <c r="B111" s="4" t="s">
        <v>21</v>
      </c>
      <c r="C111" s="4" t="s">
        <v>32</v>
      </c>
      <c r="D111" s="4" t="s">
        <v>23</v>
      </c>
      <c r="E111" s="4" t="n">
        <v>31042.03</v>
      </c>
      <c r="F111" s="4" t="n">
        <v>7107</v>
      </c>
      <c r="G111" s="4" t="n">
        <v>0.051</v>
      </c>
      <c r="H111" s="4" t="n">
        <v>15</v>
      </c>
      <c r="I111" s="4" t="n">
        <v>87</v>
      </c>
      <c r="J111" s="4" t="n">
        <v>13.33</v>
      </c>
      <c r="K111" s="4" t="n">
        <v>0</v>
      </c>
      <c r="L111" s="4" t="n">
        <v>3.2</v>
      </c>
      <c r="M111" s="4" t="n">
        <v>665594.94</v>
      </c>
      <c r="N111" s="4" t="n">
        <v>127597.34</v>
      </c>
    </row>
    <row r="112" customFormat="false" ht="15" hidden="false" customHeight="false" outlineLevel="0" collapsed="false">
      <c r="A112" s="4" t="s">
        <v>54</v>
      </c>
      <c r="B112" s="4" t="s">
        <v>16</v>
      </c>
      <c r="C112" s="4" t="s">
        <v>17</v>
      </c>
      <c r="D112" s="4" t="s">
        <v>33</v>
      </c>
      <c r="E112" s="4" t="n">
        <v>75265.02</v>
      </c>
      <c r="F112" s="4" t="n">
        <v>6975</v>
      </c>
      <c r="G112" s="4" t="n">
        <v>0.157</v>
      </c>
      <c r="H112" s="4" t="n">
        <v>20</v>
      </c>
      <c r="I112" s="4" t="n">
        <v>73.8</v>
      </c>
      <c r="J112" s="4" t="n">
        <v>6.35</v>
      </c>
      <c r="K112" s="4" t="n">
        <v>1</v>
      </c>
      <c r="L112" s="4" t="n">
        <v>3.8</v>
      </c>
      <c r="M112" s="4" t="n">
        <v>709478.39</v>
      </c>
      <c r="N112" s="4" t="n">
        <v>71294.27</v>
      </c>
    </row>
    <row r="113" customFormat="false" ht="15" hidden="false" customHeight="false" outlineLevel="0" collapsed="false">
      <c r="A113" s="4" t="s">
        <v>54</v>
      </c>
      <c r="B113" s="4" t="s">
        <v>19</v>
      </c>
      <c r="C113" s="4" t="s">
        <v>17</v>
      </c>
      <c r="D113" s="4" t="s">
        <v>33</v>
      </c>
      <c r="E113" s="4" t="n">
        <v>69411.7</v>
      </c>
      <c r="F113" s="4" t="n">
        <v>5493</v>
      </c>
      <c r="G113" s="4" t="n">
        <v>0.292</v>
      </c>
      <c r="H113" s="4" t="n">
        <v>13</v>
      </c>
      <c r="I113" s="4" t="n">
        <v>86.5</v>
      </c>
      <c r="J113" s="4" t="n">
        <v>6.69</v>
      </c>
      <c r="K113" s="4" t="n">
        <v>0</v>
      </c>
      <c r="L113" s="4" t="n">
        <v>3.8</v>
      </c>
      <c r="M113" s="4" t="n">
        <v>664162.49</v>
      </c>
      <c r="N113" s="4" t="n">
        <v>98291.06</v>
      </c>
    </row>
    <row r="114" customFormat="false" ht="15" hidden="false" customHeight="false" outlineLevel="0" collapsed="false">
      <c r="A114" s="4" t="s">
        <v>54</v>
      </c>
      <c r="B114" s="4" t="s">
        <v>20</v>
      </c>
      <c r="C114" s="4" t="s">
        <v>17</v>
      </c>
      <c r="D114" s="4" t="s">
        <v>33</v>
      </c>
      <c r="E114" s="4" t="n">
        <v>51056.15</v>
      </c>
      <c r="F114" s="4" t="n">
        <v>5686</v>
      </c>
      <c r="G114" s="4" t="n">
        <v>0.089</v>
      </c>
      <c r="H114" s="4" t="n">
        <v>13</v>
      </c>
      <c r="I114" s="4" t="n">
        <v>89.9</v>
      </c>
      <c r="J114" s="4" t="n">
        <v>1.28</v>
      </c>
      <c r="K114" s="4" t="n">
        <v>0</v>
      </c>
      <c r="L114" s="4" t="n">
        <v>4.2</v>
      </c>
      <c r="M114" s="4" t="n">
        <v>633494.21</v>
      </c>
      <c r="N114" s="4" t="n">
        <v>105739.47</v>
      </c>
    </row>
    <row r="115" customFormat="false" ht="15" hidden="false" customHeight="false" outlineLevel="0" collapsed="false">
      <c r="A115" s="4" t="s">
        <v>54</v>
      </c>
      <c r="B115" s="4" t="s">
        <v>21</v>
      </c>
      <c r="C115" s="4" t="s">
        <v>17</v>
      </c>
      <c r="D115" s="4" t="s">
        <v>33</v>
      </c>
      <c r="E115" s="4" t="n">
        <v>52758.01</v>
      </c>
      <c r="F115" s="4" t="n">
        <v>4063</v>
      </c>
      <c r="G115" s="4" t="n">
        <v>0.057</v>
      </c>
      <c r="H115" s="4" t="n">
        <v>12</v>
      </c>
      <c r="I115" s="4" t="n">
        <v>91.7</v>
      </c>
      <c r="J115" s="4" t="n">
        <v>0.92</v>
      </c>
      <c r="K115" s="4" t="n">
        <v>0</v>
      </c>
      <c r="L115" s="4" t="n">
        <v>3.5</v>
      </c>
      <c r="M115" s="4" t="n">
        <v>713611.16</v>
      </c>
      <c r="N115" s="4" t="n">
        <v>129717.18</v>
      </c>
    </row>
    <row r="116" customFormat="false" ht="15" hidden="false" customHeight="false" outlineLevel="0" collapsed="false">
      <c r="A116" s="4" t="s">
        <v>55</v>
      </c>
      <c r="B116" s="4" t="s">
        <v>16</v>
      </c>
      <c r="C116" s="4" t="s">
        <v>32</v>
      </c>
      <c r="D116" s="4" t="s">
        <v>33</v>
      </c>
      <c r="E116" s="4" t="n">
        <v>61426.04</v>
      </c>
      <c r="F116" s="4" t="n">
        <v>8966</v>
      </c>
      <c r="G116" s="4" t="n">
        <v>0.173</v>
      </c>
      <c r="H116" s="4" t="n">
        <v>22</v>
      </c>
      <c r="I116" s="4" t="n">
        <v>76.4</v>
      </c>
      <c r="J116" s="4" t="n">
        <v>1.05</v>
      </c>
      <c r="K116" s="4" t="n">
        <v>0</v>
      </c>
      <c r="L116" s="4" t="n">
        <v>3.1</v>
      </c>
      <c r="M116" s="4" t="n">
        <v>778397.97</v>
      </c>
      <c r="N116" s="4" t="n">
        <v>120044.41</v>
      </c>
    </row>
    <row r="117" customFormat="false" ht="15" hidden="false" customHeight="false" outlineLevel="0" collapsed="false">
      <c r="A117" s="4" t="s">
        <v>55</v>
      </c>
      <c r="B117" s="4" t="s">
        <v>19</v>
      </c>
      <c r="C117" s="4" t="s">
        <v>32</v>
      </c>
      <c r="D117" s="4" t="s">
        <v>33</v>
      </c>
      <c r="E117" s="4" t="n">
        <v>80176.34</v>
      </c>
      <c r="F117" s="4" t="n">
        <v>9489</v>
      </c>
      <c r="G117" s="4" t="n">
        <v>0.142</v>
      </c>
      <c r="H117" s="4" t="n">
        <v>22</v>
      </c>
      <c r="I117" s="4" t="n">
        <v>94.3</v>
      </c>
      <c r="J117" s="4" t="n">
        <v>2.67</v>
      </c>
      <c r="K117" s="4" t="n">
        <v>0</v>
      </c>
      <c r="L117" s="4" t="n">
        <v>3.5</v>
      </c>
      <c r="M117" s="4" t="n">
        <v>873380.02</v>
      </c>
      <c r="N117" s="4" t="n">
        <v>149734.76</v>
      </c>
    </row>
    <row r="118" customFormat="false" ht="15" hidden="false" customHeight="false" outlineLevel="0" collapsed="false">
      <c r="A118" s="4" t="s">
        <v>55</v>
      </c>
      <c r="B118" s="4" t="s">
        <v>20</v>
      </c>
      <c r="C118" s="4" t="s">
        <v>32</v>
      </c>
      <c r="D118" s="4" t="s">
        <v>33</v>
      </c>
      <c r="E118" s="4" t="n">
        <v>33605.18</v>
      </c>
      <c r="F118" s="4" t="n">
        <v>9225</v>
      </c>
      <c r="G118" s="4" t="n">
        <v>0.159</v>
      </c>
      <c r="H118" s="4" t="n">
        <v>23</v>
      </c>
      <c r="I118" s="4" t="n">
        <v>88.4</v>
      </c>
      <c r="J118" s="4" t="n">
        <v>5.91</v>
      </c>
      <c r="K118" s="4" t="n">
        <v>0</v>
      </c>
      <c r="L118" s="4" t="n">
        <v>2.8</v>
      </c>
      <c r="M118" s="4" t="n">
        <v>697287.9</v>
      </c>
      <c r="N118" s="4" t="n">
        <v>128208.33</v>
      </c>
    </row>
    <row r="119" customFormat="false" ht="15" hidden="false" customHeight="false" outlineLevel="0" collapsed="false">
      <c r="A119" s="4" t="s">
        <v>55</v>
      </c>
      <c r="B119" s="4" t="s">
        <v>21</v>
      </c>
      <c r="C119" s="4" t="s">
        <v>32</v>
      </c>
      <c r="D119" s="4" t="s">
        <v>33</v>
      </c>
      <c r="E119" s="4" t="n">
        <v>25990.54</v>
      </c>
      <c r="F119" s="4" t="n">
        <v>9249</v>
      </c>
      <c r="G119" s="4" t="n">
        <v>0.139</v>
      </c>
      <c r="H119" s="4" t="n">
        <v>23</v>
      </c>
      <c r="I119" s="4" t="n">
        <v>92.5</v>
      </c>
      <c r="J119" s="4" t="n">
        <v>6.37</v>
      </c>
      <c r="K119" s="4" t="n">
        <v>0</v>
      </c>
      <c r="L119" s="4" t="n">
        <v>3.3</v>
      </c>
      <c r="M119" s="4" t="n">
        <v>718074.79</v>
      </c>
      <c r="N119" s="4" t="n">
        <v>115819.87</v>
      </c>
    </row>
    <row r="120" customFormat="false" ht="15" hidden="false" customHeight="false" outlineLevel="0" collapsed="false">
      <c r="A120" s="4" t="s">
        <v>56</v>
      </c>
      <c r="B120" s="4" t="s">
        <v>16</v>
      </c>
      <c r="C120" s="4" t="s">
        <v>32</v>
      </c>
      <c r="D120" s="4" t="s">
        <v>18</v>
      </c>
      <c r="E120" s="4" t="n">
        <v>43685.14</v>
      </c>
      <c r="F120" s="4" t="n">
        <v>7821</v>
      </c>
      <c r="G120" s="4" t="n">
        <v>0.19</v>
      </c>
      <c r="H120" s="4" t="n">
        <v>17</v>
      </c>
      <c r="I120" s="4" t="n">
        <v>91</v>
      </c>
      <c r="J120" s="4" t="n">
        <v>2.49</v>
      </c>
      <c r="K120" s="4" t="n">
        <v>1</v>
      </c>
      <c r="L120" s="4" t="n">
        <v>4.7</v>
      </c>
      <c r="M120" s="4" t="n">
        <v>714942.43</v>
      </c>
      <c r="N120" s="4" t="n">
        <v>94697.71</v>
      </c>
    </row>
    <row r="121" customFormat="false" ht="15" hidden="false" customHeight="false" outlineLevel="0" collapsed="false">
      <c r="A121" s="4" t="s">
        <v>56</v>
      </c>
      <c r="B121" s="4" t="s">
        <v>19</v>
      </c>
      <c r="C121" s="4" t="s">
        <v>32</v>
      </c>
      <c r="D121" s="4" t="s">
        <v>18</v>
      </c>
      <c r="E121" s="4" t="n">
        <v>57360.01</v>
      </c>
      <c r="F121" s="4" t="n">
        <v>8434</v>
      </c>
      <c r="G121" s="4" t="n">
        <v>0.151</v>
      </c>
      <c r="H121" s="4" t="n">
        <v>19</v>
      </c>
      <c r="I121" s="4" t="n">
        <v>84.1</v>
      </c>
      <c r="J121" s="4" t="n">
        <v>1.56</v>
      </c>
      <c r="K121" s="4" t="n">
        <v>0</v>
      </c>
      <c r="L121" s="4" t="n">
        <v>4.7</v>
      </c>
      <c r="M121" s="4" t="n">
        <v>820519.04</v>
      </c>
      <c r="N121" s="4" t="n">
        <v>99035.88</v>
      </c>
    </row>
    <row r="122" customFormat="false" ht="15" hidden="false" customHeight="false" outlineLevel="0" collapsed="false">
      <c r="A122" s="4" t="s">
        <v>56</v>
      </c>
      <c r="B122" s="4" t="s">
        <v>20</v>
      </c>
      <c r="C122" s="4" t="s">
        <v>32</v>
      </c>
      <c r="D122" s="4" t="s">
        <v>18</v>
      </c>
      <c r="E122" s="4" t="n">
        <v>42415.47</v>
      </c>
      <c r="F122" s="4" t="n">
        <v>8512</v>
      </c>
      <c r="G122" s="4" t="n">
        <v>0.133</v>
      </c>
      <c r="H122" s="4" t="n">
        <v>18</v>
      </c>
      <c r="I122" s="4" t="n">
        <v>96.8</v>
      </c>
      <c r="J122" s="4" t="n">
        <v>14.95</v>
      </c>
      <c r="K122" s="4" t="n">
        <v>0</v>
      </c>
      <c r="L122" s="4" t="n">
        <v>4.6</v>
      </c>
      <c r="M122" s="4" t="n">
        <v>684217.32</v>
      </c>
      <c r="N122" s="4" t="n">
        <v>136217.19</v>
      </c>
    </row>
    <row r="123" customFormat="false" ht="15" hidden="false" customHeight="false" outlineLevel="0" collapsed="false">
      <c r="A123" s="4" t="s">
        <v>56</v>
      </c>
      <c r="B123" s="4" t="s">
        <v>21</v>
      </c>
      <c r="C123" s="4" t="s">
        <v>32</v>
      </c>
      <c r="D123" s="4" t="s">
        <v>18</v>
      </c>
      <c r="E123" s="4" t="n">
        <v>54968.98</v>
      </c>
      <c r="F123" s="4" t="n">
        <v>7816</v>
      </c>
      <c r="G123" s="4" t="n">
        <v>0.232</v>
      </c>
      <c r="H123" s="4" t="n">
        <v>19</v>
      </c>
      <c r="I123" s="4" t="n">
        <v>95.7</v>
      </c>
      <c r="J123" s="4" t="n">
        <v>7.85</v>
      </c>
      <c r="K123" s="4" t="n">
        <v>0</v>
      </c>
      <c r="L123" s="4" t="n">
        <v>4.7</v>
      </c>
      <c r="M123" s="4" t="n">
        <v>735480.19</v>
      </c>
      <c r="N123" s="4" t="n">
        <v>88342.11</v>
      </c>
    </row>
    <row r="124" customFormat="false" ht="15" hidden="false" customHeight="false" outlineLevel="0" collapsed="false">
      <c r="A124" s="4" t="s">
        <v>57</v>
      </c>
      <c r="B124" s="4" t="s">
        <v>16</v>
      </c>
      <c r="C124" s="4" t="s">
        <v>25</v>
      </c>
      <c r="D124" s="4" t="s">
        <v>23</v>
      </c>
      <c r="E124" s="4" t="n">
        <v>43896.13</v>
      </c>
      <c r="F124" s="4" t="n">
        <v>3853</v>
      </c>
      <c r="G124" s="4" t="n">
        <v>0.088</v>
      </c>
      <c r="H124" s="4" t="n">
        <v>13</v>
      </c>
      <c r="I124" s="4" t="n">
        <v>83</v>
      </c>
      <c r="J124" s="4" t="n">
        <v>6.8</v>
      </c>
      <c r="K124" s="4" t="n">
        <v>0</v>
      </c>
      <c r="L124" s="4" t="n">
        <v>4.4</v>
      </c>
      <c r="M124" s="4" t="n">
        <v>509484.81</v>
      </c>
      <c r="N124" s="4" t="n">
        <v>85742.36</v>
      </c>
    </row>
    <row r="125" customFormat="false" ht="15" hidden="false" customHeight="false" outlineLevel="0" collapsed="false">
      <c r="A125" s="4" t="s">
        <v>57</v>
      </c>
      <c r="B125" s="4" t="s">
        <v>19</v>
      </c>
      <c r="C125" s="4" t="s">
        <v>25</v>
      </c>
      <c r="D125" s="4" t="s">
        <v>23</v>
      </c>
      <c r="E125" s="4" t="n">
        <v>83044.17</v>
      </c>
      <c r="F125" s="4" t="n">
        <v>3694</v>
      </c>
      <c r="G125" s="4" t="n">
        <v>0</v>
      </c>
      <c r="H125" s="4" t="n">
        <v>14</v>
      </c>
      <c r="I125" s="4" t="n">
        <v>89.4</v>
      </c>
      <c r="J125" s="4" t="n">
        <v>2.2</v>
      </c>
      <c r="K125" s="4" t="n">
        <v>0</v>
      </c>
      <c r="L125" s="4" t="n">
        <v>3.7</v>
      </c>
      <c r="M125" s="4" t="n">
        <v>654317.09</v>
      </c>
      <c r="N125" s="4" t="n">
        <v>121446.89</v>
      </c>
    </row>
    <row r="126" customFormat="false" ht="15" hidden="false" customHeight="false" outlineLevel="0" collapsed="false">
      <c r="A126" s="4" t="s">
        <v>57</v>
      </c>
      <c r="B126" s="4" t="s">
        <v>20</v>
      </c>
      <c r="C126" s="4" t="s">
        <v>25</v>
      </c>
      <c r="D126" s="4" t="s">
        <v>23</v>
      </c>
      <c r="E126" s="4" t="n">
        <v>48396.13</v>
      </c>
      <c r="F126" s="4" t="n">
        <v>4423</v>
      </c>
      <c r="G126" s="4" t="n">
        <v>0.069</v>
      </c>
      <c r="H126" s="4" t="n">
        <v>15</v>
      </c>
      <c r="I126" s="4" t="n">
        <v>85.7</v>
      </c>
      <c r="J126" s="4" t="n">
        <v>1.88</v>
      </c>
      <c r="K126" s="4" t="n">
        <v>0</v>
      </c>
      <c r="L126" s="4" t="n">
        <v>3.9</v>
      </c>
      <c r="M126" s="4" t="n">
        <v>557487.26</v>
      </c>
      <c r="N126" s="4" t="n">
        <v>76432.19</v>
      </c>
    </row>
    <row r="127" customFormat="false" ht="15" hidden="false" customHeight="false" outlineLevel="0" collapsed="false">
      <c r="A127" s="4" t="s">
        <v>57</v>
      </c>
      <c r="B127" s="4" t="s">
        <v>21</v>
      </c>
      <c r="C127" s="4" t="s">
        <v>25</v>
      </c>
      <c r="D127" s="4" t="s">
        <v>23</v>
      </c>
      <c r="E127" s="4" t="n">
        <v>19063.48</v>
      </c>
      <c r="F127" s="4" t="n">
        <v>1906</v>
      </c>
      <c r="G127" s="4" t="n">
        <v>0.216</v>
      </c>
      <c r="H127" s="4" t="n">
        <v>10</v>
      </c>
      <c r="I127" s="4" t="n">
        <v>97.8</v>
      </c>
      <c r="J127" s="4" t="n">
        <v>15.79</v>
      </c>
      <c r="K127" s="4" t="n">
        <v>0</v>
      </c>
      <c r="L127" s="4" t="n">
        <v>4.4</v>
      </c>
      <c r="M127" s="4" t="n">
        <v>441275.42</v>
      </c>
      <c r="N127" s="4" t="n">
        <v>58234.87</v>
      </c>
    </row>
    <row r="128" customFormat="false" ht="15" hidden="false" customHeight="false" outlineLevel="0" collapsed="false">
      <c r="A128" s="4" t="s">
        <v>58</v>
      </c>
      <c r="B128" s="4" t="s">
        <v>16</v>
      </c>
      <c r="C128" s="4" t="s">
        <v>29</v>
      </c>
      <c r="D128" s="4" t="s">
        <v>23</v>
      </c>
      <c r="E128" s="4" t="n">
        <v>61541.21</v>
      </c>
      <c r="F128" s="4" t="n">
        <v>10396</v>
      </c>
      <c r="G128" s="4" t="n">
        <v>0.123</v>
      </c>
      <c r="H128" s="4" t="n">
        <v>25</v>
      </c>
      <c r="I128" s="4" t="n">
        <v>88.1</v>
      </c>
      <c r="J128" s="4" t="n">
        <v>2.34</v>
      </c>
      <c r="K128" s="4" t="n">
        <v>1</v>
      </c>
      <c r="L128" s="4" t="n">
        <v>4.8</v>
      </c>
      <c r="M128" s="4" t="n">
        <v>914544.17</v>
      </c>
      <c r="N128" s="4" t="n">
        <v>79831.73</v>
      </c>
    </row>
    <row r="129" customFormat="false" ht="15" hidden="false" customHeight="false" outlineLevel="0" collapsed="false">
      <c r="A129" s="4" t="s">
        <v>58</v>
      </c>
      <c r="B129" s="4" t="s">
        <v>19</v>
      </c>
      <c r="C129" s="4" t="s">
        <v>29</v>
      </c>
      <c r="D129" s="4" t="s">
        <v>23</v>
      </c>
      <c r="E129" s="4" t="n">
        <v>44747</v>
      </c>
      <c r="F129" s="4" t="n">
        <v>11076</v>
      </c>
      <c r="G129" s="4" t="n">
        <v>0.176</v>
      </c>
      <c r="H129" s="4" t="n">
        <v>27</v>
      </c>
      <c r="I129" s="4" t="n">
        <v>98.3</v>
      </c>
      <c r="J129" s="4" t="n">
        <v>0.54</v>
      </c>
      <c r="K129" s="4" t="n">
        <v>0</v>
      </c>
      <c r="L129" s="4" t="n">
        <v>4.4</v>
      </c>
      <c r="M129" s="4" t="n">
        <v>842439.67</v>
      </c>
      <c r="N129" s="4" t="n">
        <v>169983.63</v>
      </c>
    </row>
    <row r="130" customFormat="false" ht="15" hidden="false" customHeight="false" outlineLevel="0" collapsed="false">
      <c r="A130" s="4" t="s">
        <v>58</v>
      </c>
      <c r="B130" s="4" t="s">
        <v>20</v>
      </c>
      <c r="C130" s="4" t="s">
        <v>29</v>
      </c>
      <c r="D130" s="4" t="s">
        <v>23</v>
      </c>
      <c r="E130" s="4" t="n">
        <v>56517.9</v>
      </c>
      <c r="F130" s="4" t="n">
        <v>9574</v>
      </c>
      <c r="G130" s="4" t="n">
        <v>0.204</v>
      </c>
      <c r="H130" s="4" t="n">
        <v>20</v>
      </c>
      <c r="I130" s="4" t="n">
        <v>88.2</v>
      </c>
      <c r="J130" s="4" t="n">
        <v>5.37</v>
      </c>
      <c r="K130" s="4" t="n">
        <v>1</v>
      </c>
      <c r="L130" s="4" t="n">
        <v>4.9</v>
      </c>
      <c r="M130" s="4" t="n">
        <v>842157.92</v>
      </c>
      <c r="N130" s="4" t="n">
        <v>107348.22</v>
      </c>
    </row>
    <row r="131" customFormat="false" ht="15" hidden="false" customHeight="false" outlineLevel="0" collapsed="false">
      <c r="A131" s="4" t="s">
        <v>58</v>
      </c>
      <c r="B131" s="4" t="s">
        <v>21</v>
      </c>
      <c r="C131" s="4" t="s">
        <v>29</v>
      </c>
      <c r="D131" s="4" t="s">
        <v>23</v>
      </c>
      <c r="E131" s="4" t="n">
        <v>37828.5</v>
      </c>
      <c r="F131" s="4" t="n">
        <v>8221</v>
      </c>
      <c r="G131" s="4" t="n">
        <v>0.096</v>
      </c>
      <c r="H131" s="4" t="n">
        <v>19</v>
      </c>
      <c r="I131" s="4" t="n">
        <v>81.5</v>
      </c>
      <c r="J131" s="4" t="n">
        <v>3.19</v>
      </c>
      <c r="K131" s="4" t="n">
        <v>0</v>
      </c>
      <c r="L131" s="4" t="n">
        <v>4.8</v>
      </c>
      <c r="M131" s="4" t="n">
        <v>697155.3</v>
      </c>
      <c r="N131" s="4" t="n">
        <v>136408.54</v>
      </c>
    </row>
    <row r="132" customFormat="false" ht="15" hidden="false" customHeight="false" outlineLevel="0" collapsed="false">
      <c r="A132" s="4" t="s">
        <v>59</v>
      </c>
      <c r="B132" s="4" t="s">
        <v>16</v>
      </c>
      <c r="C132" s="4" t="s">
        <v>17</v>
      </c>
      <c r="D132" s="4" t="s">
        <v>23</v>
      </c>
      <c r="E132" s="4" t="n">
        <v>66250.53</v>
      </c>
      <c r="F132" s="4" t="n">
        <v>10618</v>
      </c>
      <c r="G132" s="4" t="n">
        <v>0.142</v>
      </c>
      <c r="H132" s="4" t="n">
        <v>27</v>
      </c>
      <c r="I132" s="4" t="n">
        <v>88.3</v>
      </c>
      <c r="J132" s="4" t="n">
        <v>1.1</v>
      </c>
      <c r="K132" s="4" t="n">
        <v>1</v>
      </c>
      <c r="L132" s="4" t="n">
        <v>4.4</v>
      </c>
      <c r="M132" s="4" t="n">
        <v>849018.3</v>
      </c>
      <c r="N132" s="4" t="n">
        <v>149035.13</v>
      </c>
    </row>
    <row r="133" customFormat="false" ht="15" hidden="false" customHeight="false" outlineLevel="0" collapsed="false">
      <c r="A133" s="4" t="s">
        <v>59</v>
      </c>
      <c r="B133" s="4" t="s">
        <v>19</v>
      </c>
      <c r="C133" s="4" t="s">
        <v>17</v>
      </c>
      <c r="D133" s="4" t="s">
        <v>23</v>
      </c>
      <c r="E133" s="4" t="n">
        <v>68410.93</v>
      </c>
      <c r="F133" s="4" t="n">
        <v>10596</v>
      </c>
      <c r="G133" s="4" t="n">
        <v>0.207</v>
      </c>
      <c r="H133" s="4" t="n">
        <v>25</v>
      </c>
      <c r="I133" s="4" t="n">
        <v>81.2</v>
      </c>
      <c r="J133" s="4" t="n">
        <v>0.21</v>
      </c>
      <c r="K133" s="4" t="n">
        <v>0</v>
      </c>
      <c r="L133" s="4" t="n">
        <v>4</v>
      </c>
      <c r="M133" s="4" t="n">
        <v>801830.35</v>
      </c>
      <c r="N133" s="4" t="n">
        <v>114875.32</v>
      </c>
    </row>
    <row r="134" customFormat="false" ht="15" hidden="false" customHeight="false" outlineLevel="0" collapsed="false">
      <c r="A134" s="4" t="s">
        <v>59</v>
      </c>
      <c r="B134" s="4" t="s">
        <v>20</v>
      </c>
      <c r="C134" s="4" t="s">
        <v>17</v>
      </c>
      <c r="D134" s="4" t="s">
        <v>23</v>
      </c>
      <c r="E134" s="4" t="n">
        <v>50735.63</v>
      </c>
      <c r="F134" s="4" t="n">
        <v>9619</v>
      </c>
      <c r="G134" s="4" t="n">
        <v>0.144</v>
      </c>
      <c r="H134" s="4" t="n">
        <v>19</v>
      </c>
      <c r="I134" s="4" t="n">
        <v>93.8</v>
      </c>
      <c r="J134" s="4" t="n">
        <v>5.12</v>
      </c>
      <c r="K134" s="4" t="n">
        <v>1</v>
      </c>
      <c r="L134" s="4" t="n">
        <v>4.5</v>
      </c>
      <c r="M134" s="4" t="n">
        <v>725235.28</v>
      </c>
      <c r="N134" s="4" t="n">
        <v>121632.24</v>
      </c>
    </row>
    <row r="135" customFormat="false" ht="15" hidden="false" customHeight="false" outlineLevel="0" collapsed="false">
      <c r="A135" s="4" t="s">
        <v>59</v>
      </c>
      <c r="B135" s="4" t="s">
        <v>21</v>
      </c>
      <c r="C135" s="4" t="s">
        <v>17</v>
      </c>
      <c r="D135" s="4" t="s">
        <v>23</v>
      </c>
      <c r="E135" s="4" t="n">
        <v>66455.8</v>
      </c>
      <c r="F135" s="4" t="n">
        <v>10836</v>
      </c>
      <c r="G135" s="4" t="n">
        <v>0.089</v>
      </c>
      <c r="H135" s="4" t="n">
        <v>25</v>
      </c>
      <c r="I135" s="4" t="n">
        <v>85</v>
      </c>
      <c r="J135" s="4" t="n">
        <v>9.77</v>
      </c>
      <c r="K135" s="4" t="n">
        <v>0</v>
      </c>
      <c r="L135" s="4" t="n">
        <v>4.5</v>
      </c>
      <c r="M135" s="4" t="n">
        <v>811452.72</v>
      </c>
      <c r="N135" s="4" t="n">
        <v>131325.67</v>
      </c>
    </row>
    <row r="136" customFormat="false" ht="15" hidden="false" customHeight="false" outlineLevel="0" collapsed="false">
      <c r="A136" s="4" t="s">
        <v>60</v>
      </c>
      <c r="B136" s="4" t="s">
        <v>16</v>
      </c>
      <c r="C136" s="4" t="s">
        <v>25</v>
      </c>
      <c r="D136" s="4" t="s">
        <v>23</v>
      </c>
      <c r="E136" s="4" t="n">
        <v>70276.28</v>
      </c>
      <c r="F136" s="4" t="n">
        <v>3043</v>
      </c>
      <c r="G136" s="4" t="n">
        <v>0.079</v>
      </c>
      <c r="H136" s="4" t="n">
        <v>9</v>
      </c>
      <c r="I136" s="4" t="n">
        <v>87.9</v>
      </c>
      <c r="J136" s="4" t="n">
        <v>3.77</v>
      </c>
      <c r="K136" s="4" t="n">
        <v>0</v>
      </c>
      <c r="L136" s="4" t="n">
        <v>4.4</v>
      </c>
      <c r="M136" s="4" t="n">
        <v>527300.13</v>
      </c>
      <c r="N136" s="4" t="n">
        <v>84197.87</v>
      </c>
    </row>
    <row r="137" customFormat="false" ht="15" hidden="false" customHeight="false" outlineLevel="0" collapsed="false">
      <c r="A137" s="4" t="s">
        <v>60</v>
      </c>
      <c r="B137" s="4" t="s">
        <v>19</v>
      </c>
      <c r="C137" s="4" t="s">
        <v>25</v>
      </c>
      <c r="D137" s="4" t="s">
        <v>23</v>
      </c>
      <c r="E137" s="4" t="n">
        <v>22071.64</v>
      </c>
      <c r="F137" s="4" t="n">
        <v>1814</v>
      </c>
      <c r="G137" s="4" t="n">
        <v>0.196</v>
      </c>
      <c r="H137" s="4" t="n">
        <v>8</v>
      </c>
      <c r="I137" s="4" t="n">
        <v>81.1</v>
      </c>
      <c r="J137" s="4" t="n">
        <v>0.78</v>
      </c>
      <c r="K137" s="4" t="n">
        <v>0</v>
      </c>
      <c r="L137" s="4"/>
      <c r="M137" s="4" t="n">
        <v>400831.65</v>
      </c>
      <c r="N137" s="4" t="n">
        <v>70979.31</v>
      </c>
    </row>
    <row r="138" customFormat="false" ht="15" hidden="false" customHeight="false" outlineLevel="0" collapsed="false">
      <c r="A138" s="4" t="s">
        <v>60</v>
      </c>
      <c r="B138" s="4" t="s">
        <v>20</v>
      </c>
      <c r="C138" s="4" t="s">
        <v>25</v>
      </c>
      <c r="D138" s="4" t="s">
        <v>23</v>
      </c>
      <c r="E138" s="4" t="n">
        <v>52285.45</v>
      </c>
      <c r="F138" s="4" t="n">
        <v>3618</v>
      </c>
      <c r="G138" s="4" t="n">
        <v>0.086</v>
      </c>
      <c r="H138" s="4" t="n">
        <v>11</v>
      </c>
      <c r="I138" s="4" t="n">
        <v>95.6</v>
      </c>
      <c r="J138" s="4" t="n">
        <v>5.17</v>
      </c>
      <c r="K138" s="4" t="n">
        <v>1</v>
      </c>
      <c r="L138" s="4" t="n">
        <v>4.4</v>
      </c>
      <c r="M138" s="4" t="n">
        <v>593247.25</v>
      </c>
      <c r="N138" s="4" t="n">
        <v>81240.29</v>
      </c>
    </row>
    <row r="139" customFormat="false" ht="15" hidden="false" customHeight="false" outlineLevel="0" collapsed="false">
      <c r="A139" s="4" t="s">
        <v>60</v>
      </c>
      <c r="B139" s="4" t="s">
        <v>21</v>
      </c>
      <c r="C139" s="4" t="s">
        <v>25</v>
      </c>
      <c r="D139" s="4" t="s">
        <v>23</v>
      </c>
      <c r="E139" s="4" t="n">
        <v>70366.76</v>
      </c>
      <c r="F139" s="4" t="n">
        <v>1963</v>
      </c>
      <c r="G139" s="4" t="n">
        <v>0.182</v>
      </c>
      <c r="H139" s="4" t="n">
        <v>8</v>
      </c>
      <c r="I139" s="4" t="n">
        <v>89.8</v>
      </c>
      <c r="J139" s="4" t="n">
        <v>3.2</v>
      </c>
      <c r="K139" s="4" t="n">
        <v>0</v>
      </c>
      <c r="L139" s="4" t="n">
        <v>4.6</v>
      </c>
      <c r="M139" s="4" t="n">
        <v>529075.95</v>
      </c>
      <c r="N139" s="4" t="n">
        <v>95978.83</v>
      </c>
    </row>
    <row r="140" customFormat="false" ht="15" hidden="false" customHeight="false" outlineLevel="0" collapsed="false">
      <c r="A140" s="4" t="s">
        <v>61</v>
      </c>
      <c r="B140" s="4" t="s">
        <v>16</v>
      </c>
      <c r="C140" s="4" t="s">
        <v>29</v>
      </c>
      <c r="D140" s="4" t="s">
        <v>18</v>
      </c>
      <c r="E140" s="4" t="n">
        <v>71320.66</v>
      </c>
      <c r="F140" s="4" t="n">
        <v>7888</v>
      </c>
      <c r="G140" s="4" t="n">
        <v>0.048</v>
      </c>
      <c r="H140" s="4" t="n">
        <v>20</v>
      </c>
      <c r="I140" s="4" t="n">
        <v>78.1</v>
      </c>
      <c r="J140" s="4" t="n">
        <v>3.4</v>
      </c>
      <c r="K140" s="4" t="n">
        <v>0</v>
      </c>
      <c r="L140" s="4"/>
      <c r="M140" s="4" t="n">
        <v>633638.03</v>
      </c>
      <c r="N140" s="4" t="n">
        <v>99402.01</v>
      </c>
    </row>
    <row r="141" customFormat="false" ht="15" hidden="false" customHeight="false" outlineLevel="0" collapsed="false">
      <c r="A141" s="4" t="s">
        <v>61</v>
      </c>
      <c r="B141" s="4" t="s">
        <v>19</v>
      </c>
      <c r="C141" s="4" t="s">
        <v>29</v>
      </c>
      <c r="D141" s="4" t="s">
        <v>18</v>
      </c>
      <c r="E141" s="4" t="n">
        <v>75109.67</v>
      </c>
      <c r="F141" s="4" t="n">
        <v>6244</v>
      </c>
      <c r="G141" s="4" t="n">
        <v>0.079</v>
      </c>
      <c r="H141" s="4" t="n">
        <v>15</v>
      </c>
      <c r="I141" s="4" t="n">
        <v>96.3</v>
      </c>
      <c r="J141" s="4" t="n">
        <v>7.38</v>
      </c>
      <c r="K141" s="4" t="n">
        <v>0</v>
      </c>
      <c r="L141" s="4" t="n">
        <v>3.7</v>
      </c>
      <c r="M141" s="4" t="n">
        <v>743348.84</v>
      </c>
      <c r="N141" s="4" t="n">
        <v>104186.09</v>
      </c>
    </row>
    <row r="142" customFormat="false" ht="15" hidden="false" customHeight="false" outlineLevel="0" collapsed="false">
      <c r="A142" s="4" t="s">
        <v>61</v>
      </c>
      <c r="B142" s="4" t="s">
        <v>20</v>
      </c>
      <c r="C142" s="4" t="s">
        <v>29</v>
      </c>
      <c r="D142" s="4" t="s">
        <v>18</v>
      </c>
      <c r="E142" s="4" t="n">
        <v>69779</v>
      </c>
      <c r="F142" s="4" t="n">
        <v>6544</v>
      </c>
      <c r="G142" s="4" t="n">
        <v>0.152</v>
      </c>
      <c r="H142" s="4" t="n">
        <v>18</v>
      </c>
      <c r="I142" s="4" t="n">
        <v>90.2</v>
      </c>
      <c r="J142" s="4" t="n">
        <v>0.85</v>
      </c>
      <c r="K142" s="4" t="n">
        <v>1</v>
      </c>
      <c r="L142" s="4" t="n">
        <v>3.3</v>
      </c>
      <c r="M142" s="4" t="n">
        <v>758827.64</v>
      </c>
      <c r="N142" s="4" t="n">
        <v>161439.48</v>
      </c>
    </row>
    <row r="143" customFormat="false" ht="15" hidden="false" customHeight="false" outlineLevel="0" collapsed="false">
      <c r="A143" s="4" t="s">
        <v>61</v>
      </c>
      <c r="B143" s="4" t="s">
        <v>21</v>
      </c>
      <c r="C143" s="4" t="s">
        <v>29</v>
      </c>
      <c r="D143" s="4" t="s">
        <v>18</v>
      </c>
      <c r="E143" s="4" t="n">
        <v>44211.95</v>
      </c>
      <c r="F143" s="4" t="n">
        <v>5465</v>
      </c>
      <c r="G143" s="4" t="n">
        <v>0.187</v>
      </c>
      <c r="H143" s="4" t="n">
        <v>12</v>
      </c>
      <c r="I143" s="4" t="n">
        <v>90</v>
      </c>
      <c r="J143" s="4" t="n">
        <v>2.89</v>
      </c>
      <c r="K143" s="4" t="n">
        <v>0</v>
      </c>
      <c r="L143" s="4" t="n">
        <v>3.6</v>
      </c>
      <c r="M143" s="4" t="n">
        <v>646559.71</v>
      </c>
      <c r="N143" s="4" t="n">
        <v>97981.75</v>
      </c>
    </row>
    <row r="144" customFormat="false" ht="15" hidden="false" customHeight="false" outlineLevel="0" collapsed="false">
      <c r="A144" s="4" t="s">
        <v>62</v>
      </c>
      <c r="B144" s="4" t="s">
        <v>16</v>
      </c>
      <c r="C144" s="4" t="s">
        <v>32</v>
      </c>
      <c r="D144" s="4" t="s">
        <v>23</v>
      </c>
      <c r="E144" s="4" t="n">
        <v>51430.31</v>
      </c>
      <c r="F144" s="4" t="n">
        <v>6427</v>
      </c>
      <c r="G144" s="4" t="n">
        <v>0.234</v>
      </c>
      <c r="H144" s="4" t="n">
        <v>14</v>
      </c>
      <c r="I144" s="4" t="n">
        <v>88.8</v>
      </c>
      <c r="J144" s="4" t="n">
        <v>0.77</v>
      </c>
      <c r="K144" s="4" t="n">
        <v>0</v>
      </c>
      <c r="L144" s="4" t="n">
        <v>4.1</v>
      </c>
      <c r="M144" s="4" t="n">
        <v>715890.53</v>
      </c>
      <c r="N144" s="4" t="n">
        <v>109032.15</v>
      </c>
    </row>
    <row r="145" customFormat="false" ht="15" hidden="false" customHeight="false" outlineLevel="0" collapsed="false">
      <c r="A145" s="4" t="s">
        <v>62</v>
      </c>
      <c r="B145" s="4" t="s">
        <v>19</v>
      </c>
      <c r="C145" s="4" t="s">
        <v>32</v>
      </c>
      <c r="D145" s="4" t="s">
        <v>23</v>
      </c>
      <c r="E145" s="4" t="n">
        <v>45706.49</v>
      </c>
      <c r="F145" s="4" t="n">
        <v>6704</v>
      </c>
      <c r="G145" s="4" t="n">
        <v>0.038</v>
      </c>
      <c r="H145" s="4" t="n">
        <v>15</v>
      </c>
      <c r="I145" s="4" t="n">
        <v>94.2</v>
      </c>
      <c r="J145" s="4" t="n">
        <v>2.92</v>
      </c>
      <c r="K145" s="4" t="n">
        <v>0</v>
      </c>
      <c r="L145" s="4" t="n">
        <v>4.2</v>
      </c>
      <c r="M145" s="4" t="n">
        <v>715097.57</v>
      </c>
      <c r="N145" s="4" t="n">
        <v>151875.86</v>
      </c>
    </row>
    <row r="146" customFormat="false" ht="15" hidden="false" customHeight="false" outlineLevel="0" collapsed="false">
      <c r="A146" s="4" t="s">
        <v>62</v>
      </c>
      <c r="B146" s="4" t="s">
        <v>20</v>
      </c>
      <c r="C146" s="4" t="s">
        <v>32</v>
      </c>
      <c r="D146" s="4" t="s">
        <v>23</v>
      </c>
      <c r="E146" s="4" t="n">
        <v>44034.6</v>
      </c>
      <c r="F146" s="4" t="n">
        <v>5645</v>
      </c>
      <c r="G146" s="4" t="n">
        <v>0.069</v>
      </c>
      <c r="H146" s="4" t="n">
        <v>18</v>
      </c>
      <c r="I146" s="4" t="n">
        <v>88.5</v>
      </c>
      <c r="J146" s="4" t="n">
        <v>3.07</v>
      </c>
      <c r="K146" s="4" t="n">
        <v>0</v>
      </c>
      <c r="L146" s="4" t="n">
        <v>3.8</v>
      </c>
      <c r="M146" s="4" t="n">
        <v>682639.28</v>
      </c>
      <c r="N146" s="4" t="n">
        <v>77557.53</v>
      </c>
    </row>
    <row r="147" customFormat="false" ht="15" hidden="false" customHeight="false" outlineLevel="0" collapsed="false">
      <c r="A147" s="4" t="s">
        <v>62</v>
      </c>
      <c r="B147" s="4" t="s">
        <v>21</v>
      </c>
      <c r="C147" s="4" t="s">
        <v>32</v>
      </c>
      <c r="D147" s="4" t="s">
        <v>23</v>
      </c>
      <c r="E147" s="4" t="n">
        <v>50198.12</v>
      </c>
      <c r="F147" s="4" t="n">
        <v>6089</v>
      </c>
      <c r="G147" s="4" t="n">
        <v>0.182</v>
      </c>
      <c r="H147" s="4" t="n">
        <v>19</v>
      </c>
      <c r="I147" s="4" t="n">
        <v>94</v>
      </c>
      <c r="J147" s="4" t="n">
        <v>9.7</v>
      </c>
      <c r="K147" s="4" t="n">
        <v>0</v>
      </c>
      <c r="L147" s="4" t="n">
        <v>3.9</v>
      </c>
      <c r="M147" s="4" t="n">
        <v>695098.51</v>
      </c>
      <c r="N147" s="4" t="n">
        <v>108192.75</v>
      </c>
    </row>
    <row r="148" customFormat="false" ht="15" hidden="false" customHeight="false" outlineLevel="0" collapsed="false">
      <c r="A148" s="4" t="s">
        <v>63</v>
      </c>
      <c r="B148" s="4" t="s">
        <v>16</v>
      </c>
      <c r="C148" s="4" t="s">
        <v>25</v>
      </c>
      <c r="D148" s="4" t="s">
        <v>18</v>
      </c>
      <c r="E148" s="4" t="n">
        <v>70488.2</v>
      </c>
      <c r="F148" s="4" t="n">
        <v>4312</v>
      </c>
      <c r="G148" s="4" t="n">
        <v>0.169</v>
      </c>
      <c r="H148" s="4" t="n">
        <v>12</v>
      </c>
      <c r="I148" s="4" t="n">
        <v>90.2</v>
      </c>
      <c r="J148" s="4" t="n">
        <v>3.71</v>
      </c>
      <c r="K148" s="4" t="n">
        <v>0</v>
      </c>
      <c r="L148" s="4" t="n">
        <v>3.2</v>
      </c>
      <c r="M148" s="4" t="n">
        <v>577732.57</v>
      </c>
      <c r="N148" s="4" t="n">
        <v>93804.27</v>
      </c>
    </row>
    <row r="149" customFormat="false" ht="15" hidden="false" customHeight="false" outlineLevel="0" collapsed="false">
      <c r="A149" s="4" t="s">
        <v>63</v>
      </c>
      <c r="B149" s="4" t="s">
        <v>19</v>
      </c>
      <c r="C149" s="4" t="s">
        <v>25</v>
      </c>
      <c r="D149" s="4" t="s">
        <v>18</v>
      </c>
      <c r="E149" s="4" t="n">
        <v>50909.27</v>
      </c>
      <c r="F149" s="4" t="n">
        <v>3152</v>
      </c>
      <c r="G149" s="4" t="n">
        <v>0.06</v>
      </c>
      <c r="H149" s="4" t="n">
        <v>13</v>
      </c>
      <c r="I149" s="4" t="n">
        <v>93.7</v>
      </c>
      <c r="J149" s="4" t="n">
        <v>10.79</v>
      </c>
      <c r="K149" s="4" t="n">
        <v>0</v>
      </c>
      <c r="L149" s="4" t="n">
        <v>3.5</v>
      </c>
      <c r="M149" s="4" t="n">
        <v>537058.33</v>
      </c>
      <c r="N149" s="4" t="n">
        <v>93555.71</v>
      </c>
    </row>
    <row r="150" customFormat="false" ht="15" hidden="false" customHeight="false" outlineLevel="0" collapsed="false">
      <c r="A150" s="4" t="s">
        <v>63</v>
      </c>
      <c r="B150" s="4" t="s">
        <v>20</v>
      </c>
      <c r="C150" s="4" t="s">
        <v>25</v>
      </c>
      <c r="D150" s="4" t="s">
        <v>18</v>
      </c>
      <c r="E150" s="4" t="n">
        <v>53351.7</v>
      </c>
      <c r="F150" s="4" t="n">
        <v>4259</v>
      </c>
      <c r="G150" s="4" t="n">
        <v>0.156</v>
      </c>
      <c r="H150" s="4" t="n">
        <v>15</v>
      </c>
      <c r="I150" s="4" t="n">
        <v>93.7</v>
      </c>
      <c r="J150" s="4" t="n">
        <v>6.03</v>
      </c>
      <c r="K150" s="4" t="n">
        <v>0</v>
      </c>
      <c r="L150" s="4" t="n">
        <v>3.4</v>
      </c>
      <c r="M150" s="4" t="n">
        <v>601568.87</v>
      </c>
      <c r="N150" s="4" t="n">
        <v>91634.82</v>
      </c>
    </row>
    <row r="151" customFormat="false" ht="15" hidden="false" customHeight="false" outlineLevel="0" collapsed="false">
      <c r="A151" s="4" t="s">
        <v>63</v>
      </c>
      <c r="B151" s="4" t="s">
        <v>21</v>
      </c>
      <c r="C151" s="4" t="s">
        <v>25</v>
      </c>
      <c r="D151" s="4" t="s">
        <v>18</v>
      </c>
      <c r="E151" s="4" t="n">
        <v>60322.4</v>
      </c>
      <c r="F151" s="4" t="n">
        <v>3350</v>
      </c>
      <c r="G151" s="4" t="n">
        <v>0.108</v>
      </c>
      <c r="H151" s="4" t="n">
        <v>12</v>
      </c>
      <c r="I151" s="4" t="n">
        <v>89.4</v>
      </c>
      <c r="J151" s="4" t="n">
        <v>4.92</v>
      </c>
      <c r="K151" s="4" t="n">
        <v>0</v>
      </c>
      <c r="L151" s="4" t="n">
        <v>3.4</v>
      </c>
      <c r="M151" s="4" t="n">
        <v>570964.84</v>
      </c>
      <c r="N151" s="4" t="n">
        <v>81331.07</v>
      </c>
    </row>
    <row r="152" customFormat="false" ht="15" hidden="false" customHeight="false" outlineLevel="0" collapsed="false">
      <c r="A152" s="4" t="s">
        <v>64</v>
      </c>
      <c r="B152" s="4" t="s">
        <v>16</v>
      </c>
      <c r="C152" s="4" t="s">
        <v>29</v>
      </c>
      <c r="D152" s="4" t="s">
        <v>33</v>
      </c>
      <c r="E152" s="4" t="n">
        <v>51575.68</v>
      </c>
      <c r="F152" s="4" t="n">
        <v>5329</v>
      </c>
      <c r="G152" s="4" t="n">
        <v>0.047</v>
      </c>
      <c r="H152" s="4" t="n">
        <v>17</v>
      </c>
      <c r="I152" s="4" t="n">
        <v>88.1</v>
      </c>
      <c r="J152" s="4" t="n">
        <v>19.78</v>
      </c>
      <c r="K152" s="4" t="n">
        <v>0</v>
      </c>
      <c r="L152" s="4" t="n">
        <v>3.8</v>
      </c>
      <c r="M152" s="4" t="n">
        <v>614024.91</v>
      </c>
      <c r="N152" s="4" t="n">
        <v>84828.93</v>
      </c>
    </row>
    <row r="153" customFormat="false" ht="15" hidden="false" customHeight="false" outlineLevel="0" collapsed="false">
      <c r="A153" s="4" t="s">
        <v>64</v>
      </c>
      <c r="B153" s="4" t="s">
        <v>19</v>
      </c>
      <c r="C153" s="4" t="s">
        <v>29</v>
      </c>
      <c r="D153" s="4" t="s">
        <v>33</v>
      </c>
      <c r="E153" s="4" t="n">
        <v>43319.94</v>
      </c>
      <c r="F153" s="4" t="n">
        <v>6551</v>
      </c>
      <c r="G153" s="4" t="n">
        <v>0.044</v>
      </c>
      <c r="H153" s="4" t="n">
        <v>13</v>
      </c>
      <c r="I153" s="4" t="n">
        <v>99</v>
      </c>
      <c r="J153" s="4" t="n">
        <v>5.45</v>
      </c>
      <c r="K153" s="4" t="n">
        <v>0</v>
      </c>
      <c r="L153" s="4" t="n">
        <v>4.1</v>
      </c>
      <c r="M153" s="4" t="n">
        <v>712868.35</v>
      </c>
      <c r="N153" s="4" t="n">
        <v>133650.51</v>
      </c>
    </row>
    <row r="154" customFormat="false" ht="15" hidden="false" customHeight="false" outlineLevel="0" collapsed="false">
      <c r="A154" s="4" t="s">
        <v>64</v>
      </c>
      <c r="B154" s="4" t="s">
        <v>20</v>
      </c>
      <c r="C154" s="4" t="s">
        <v>29</v>
      </c>
      <c r="D154" s="4" t="s">
        <v>33</v>
      </c>
      <c r="E154" s="4" t="n">
        <v>47093.55</v>
      </c>
      <c r="F154" s="4" t="n">
        <v>5550</v>
      </c>
      <c r="G154" s="4" t="n">
        <v>0.1</v>
      </c>
      <c r="H154" s="4" t="n">
        <v>12</v>
      </c>
      <c r="I154" s="4" t="n">
        <v>95</v>
      </c>
      <c r="J154" s="4" t="n">
        <v>2.33</v>
      </c>
      <c r="K154" s="4" t="n">
        <v>1</v>
      </c>
      <c r="L154" s="4" t="n">
        <v>3.7</v>
      </c>
      <c r="M154" s="4" t="n">
        <v>696744.15</v>
      </c>
      <c r="N154" s="4" t="n">
        <v>152230.09</v>
      </c>
    </row>
    <row r="155" customFormat="false" ht="15" hidden="false" customHeight="false" outlineLevel="0" collapsed="false">
      <c r="A155" s="4" t="s">
        <v>64</v>
      </c>
      <c r="B155" s="4" t="s">
        <v>21</v>
      </c>
      <c r="C155" s="4" t="s">
        <v>29</v>
      </c>
      <c r="D155" s="4" t="s">
        <v>33</v>
      </c>
      <c r="E155" s="4" t="n">
        <v>71855.09</v>
      </c>
      <c r="F155" s="4" t="n">
        <v>5911</v>
      </c>
      <c r="G155" s="4" t="n">
        <v>0.197</v>
      </c>
      <c r="H155" s="4" t="n">
        <v>15</v>
      </c>
      <c r="I155" s="4" t="n">
        <v>94.3</v>
      </c>
      <c r="J155" s="4" t="n">
        <v>3.55</v>
      </c>
      <c r="K155" s="4" t="n">
        <v>0</v>
      </c>
      <c r="L155" s="4" t="n">
        <v>4.1</v>
      </c>
      <c r="M155" s="4" t="n">
        <v>725847.99</v>
      </c>
      <c r="N155" s="4" t="n">
        <v>122698.73</v>
      </c>
    </row>
    <row r="156" customFormat="false" ht="15" hidden="false" customHeight="false" outlineLevel="0" collapsed="false">
      <c r="A156" s="4" t="s">
        <v>65</v>
      </c>
      <c r="B156" s="4" t="s">
        <v>16</v>
      </c>
      <c r="C156" s="4" t="s">
        <v>17</v>
      </c>
      <c r="D156" s="4" t="s">
        <v>23</v>
      </c>
      <c r="E156" s="4" t="n">
        <v>75645.23</v>
      </c>
      <c r="F156" s="4" t="n">
        <v>9674</v>
      </c>
      <c r="G156" s="4" t="n">
        <v>0.234</v>
      </c>
      <c r="H156" s="4" t="n">
        <v>21</v>
      </c>
      <c r="I156" s="4" t="n">
        <v>87.4</v>
      </c>
      <c r="J156" s="4" t="n">
        <v>0.2</v>
      </c>
      <c r="K156" s="4" t="n">
        <v>0</v>
      </c>
      <c r="L156" s="4" t="n">
        <v>4.5</v>
      </c>
      <c r="M156" s="4" t="n">
        <v>785028.25</v>
      </c>
      <c r="N156" s="4" t="n">
        <v>110726.44</v>
      </c>
    </row>
    <row r="157" customFormat="false" ht="15" hidden="false" customHeight="false" outlineLevel="0" collapsed="false">
      <c r="A157" s="4" t="s">
        <v>65</v>
      </c>
      <c r="B157" s="4" t="s">
        <v>19</v>
      </c>
      <c r="C157" s="4" t="s">
        <v>17</v>
      </c>
      <c r="D157" s="4" t="s">
        <v>23</v>
      </c>
      <c r="E157" s="4" t="n">
        <v>64374.75</v>
      </c>
      <c r="F157" s="4" t="n">
        <v>6740</v>
      </c>
      <c r="G157" s="4" t="n">
        <v>0.169</v>
      </c>
      <c r="H157" s="4" t="n">
        <v>18</v>
      </c>
      <c r="I157" s="4" t="n">
        <v>87</v>
      </c>
      <c r="J157" s="4" t="n">
        <v>2.09</v>
      </c>
      <c r="K157" s="4" t="n">
        <v>0</v>
      </c>
      <c r="L157" s="4" t="n">
        <v>4.2</v>
      </c>
      <c r="M157" s="4" t="n">
        <v>698492.67</v>
      </c>
      <c r="N157" s="4" t="n">
        <v>117319.32</v>
      </c>
    </row>
    <row r="158" customFormat="false" ht="15" hidden="false" customHeight="false" outlineLevel="0" collapsed="false">
      <c r="A158" s="4" t="s">
        <v>65</v>
      </c>
      <c r="B158" s="4" t="s">
        <v>20</v>
      </c>
      <c r="C158" s="4" t="s">
        <v>17</v>
      </c>
      <c r="D158" s="4" t="s">
        <v>23</v>
      </c>
      <c r="E158" s="4" t="n">
        <v>61433.84</v>
      </c>
      <c r="F158" s="4" t="n">
        <v>7745</v>
      </c>
      <c r="G158" s="4" t="n">
        <v>0.18</v>
      </c>
      <c r="H158" s="4" t="n">
        <v>16</v>
      </c>
      <c r="I158" s="4" t="n">
        <v>90.5</v>
      </c>
      <c r="J158" s="4" t="n">
        <v>2.26</v>
      </c>
      <c r="K158" s="4" t="n">
        <v>0</v>
      </c>
      <c r="L158" s="4" t="n">
        <v>4.2</v>
      </c>
      <c r="M158" s="4" t="n">
        <v>685830.24</v>
      </c>
      <c r="N158" s="4" t="n">
        <v>128736.18</v>
      </c>
    </row>
    <row r="159" customFormat="false" ht="15" hidden="false" customHeight="false" outlineLevel="0" collapsed="false">
      <c r="A159" s="4" t="s">
        <v>65</v>
      </c>
      <c r="B159" s="4" t="s">
        <v>21</v>
      </c>
      <c r="C159" s="4" t="s">
        <v>17</v>
      </c>
      <c r="D159" s="4" t="s">
        <v>23</v>
      </c>
      <c r="E159" s="4" t="n">
        <v>42698.14</v>
      </c>
      <c r="F159" s="4" t="n">
        <v>7693</v>
      </c>
      <c r="G159" s="4" t="n">
        <v>0.187</v>
      </c>
      <c r="H159" s="4" t="n">
        <v>19</v>
      </c>
      <c r="I159" s="4" t="n">
        <v>90.1</v>
      </c>
      <c r="J159" s="4" t="n">
        <v>0.44</v>
      </c>
      <c r="K159" s="4" t="n">
        <v>0</v>
      </c>
      <c r="L159" s="4" t="n">
        <v>4.4</v>
      </c>
      <c r="M159" s="4" t="n">
        <v>702318.94</v>
      </c>
      <c r="N159" s="4" t="n">
        <v>112829.29</v>
      </c>
    </row>
    <row r="160" customFormat="false" ht="15" hidden="false" customHeight="false" outlineLevel="0" collapsed="false">
      <c r="A160" s="4" t="s">
        <v>66</v>
      </c>
      <c r="B160" s="4" t="s">
        <v>16</v>
      </c>
      <c r="C160" s="4" t="s">
        <v>25</v>
      </c>
      <c r="D160" s="4" t="s">
        <v>33</v>
      </c>
      <c r="E160" s="4" t="n">
        <v>86883.31</v>
      </c>
      <c r="F160" s="4" t="n">
        <v>6424</v>
      </c>
      <c r="G160" s="4" t="n">
        <v>0.057</v>
      </c>
      <c r="H160" s="4" t="n">
        <v>19</v>
      </c>
      <c r="I160" s="4" t="n">
        <v>85.2</v>
      </c>
      <c r="J160" s="4" t="n">
        <v>3.08</v>
      </c>
      <c r="K160" s="4" t="n">
        <v>0</v>
      </c>
      <c r="L160" s="4" t="n">
        <v>3.9</v>
      </c>
      <c r="M160" s="4" t="n">
        <v>700078.32</v>
      </c>
      <c r="N160" s="4" t="n">
        <v>123707.58</v>
      </c>
    </row>
    <row r="161" customFormat="false" ht="15" hidden="false" customHeight="false" outlineLevel="0" collapsed="false">
      <c r="A161" s="4" t="s">
        <v>66</v>
      </c>
      <c r="B161" s="4" t="s">
        <v>19</v>
      </c>
      <c r="C161" s="4" t="s">
        <v>25</v>
      </c>
      <c r="D161" s="4" t="s">
        <v>33</v>
      </c>
      <c r="E161" s="4" t="n">
        <v>41863.08</v>
      </c>
      <c r="F161" s="4" t="n">
        <v>5400</v>
      </c>
      <c r="G161" s="4" t="n">
        <v>0.114</v>
      </c>
      <c r="H161" s="4" t="n">
        <v>11</v>
      </c>
      <c r="I161" s="4" t="n">
        <v>91.6</v>
      </c>
      <c r="J161" s="4" t="n">
        <v>7.99</v>
      </c>
      <c r="K161" s="4" t="n">
        <v>0</v>
      </c>
      <c r="L161" s="4" t="n">
        <v>3</v>
      </c>
      <c r="M161" s="4" t="n">
        <v>602002.32</v>
      </c>
      <c r="N161" s="4" t="n">
        <v>110453.28</v>
      </c>
    </row>
    <row r="162" customFormat="false" ht="15" hidden="false" customHeight="false" outlineLevel="0" collapsed="false">
      <c r="A162" s="4" t="s">
        <v>66</v>
      </c>
      <c r="B162" s="4" t="s">
        <v>20</v>
      </c>
      <c r="C162" s="4" t="s">
        <v>25</v>
      </c>
      <c r="D162" s="4" t="s">
        <v>33</v>
      </c>
      <c r="E162" s="4" t="n">
        <v>56918.16</v>
      </c>
      <c r="F162" s="4" t="n">
        <v>7015</v>
      </c>
      <c r="G162" s="4" t="n">
        <v>0.158</v>
      </c>
      <c r="H162" s="4" t="n">
        <v>18</v>
      </c>
      <c r="I162" s="4" t="n">
        <v>74.2</v>
      </c>
      <c r="J162" s="4" t="n">
        <v>0.2</v>
      </c>
      <c r="K162" s="4" t="n">
        <v>0</v>
      </c>
      <c r="L162" s="4" t="n">
        <v>3.4</v>
      </c>
      <c r="M162" s="4" t="n">
        <v>724216.07</v>
      </c>
      <c r="N162" s="4" t="n">
        <v>100627.56</v>
      </c>
    </row>
    <row r="163" customFormat="false" ht="15" hidden="false" customHeight="false" outlineLevel="0" collapsed="false">
      <c r="A163" s="4" t="s">
        <v>66</v>
      </c>
      <c r="B163" s="4" t="s">
        <v>21</v>
      </c>
      <c r="C163" s="4" t="s">
        <v>25</v>
      </c>
      <c r="D163" s="4" t="s">
        <v>33</v>
      </c>
      <c r="E163" s="4" t="n">
        <v>23254.57</v>
      </c>
      <c r="F163" s="4" t="n">
        <v>3847</v>
      </c>
      <c r="G163" s="4" t="n">
        <v>0.159</v>
      </c>
      <c r="H163" s="4" t="n">
        <v>12</v>
      </c>
      <c r="I163" s="4" t="n">
        <v>93</v>
      </c>
      <c r="J163" s="4" t="n">
        <v>5.46</v>
      </c>
      <c r="K163" s="4" t="n">
        <v>0</v>
      </c>
      <c r="L163" s="4" t="n">
        <v>3.3</v>
      </c>
      <c r="M163" s="4" t="n">
        <v>620973.03</v>
      </c>
      <c r="N163" s="4" t="n">
        <v>72303.85</v>
      </c>
    </row>
    <row r="164" customFormat="false" ht="15" hidden="false" customHeight="false" outlineLevel="0" collapsed="false">
      <c r="A164" s="4" t="s">
        <v>67</v>
      </c>
      <c r="B164" s="4" t="s">
        <v>16</v>
      </c>
      <c r="C164" s="4" t="s">
        <v>29</v>
      </c>
      <c r="D164" s="4" t="s">
        <v>23</v>
      </c>
      <c r="E164" s="4" t="n">
        <v>41443.41</v>
      </c>
      <c r="F164" s="4" t="n">
        <v>7455</v>
      </c>
      <c r="G164" s="4" t="n">
        <v>0.175</v>
      </c>
      <c r="H164" s="4" t="n">
        <v>16</v>
      </c>
      <c r="I164" s="4" t="n">
        <v>90.1</v>
      </c>
      <c r="J164" s="4" t="n">
        <v>4.05</v>
      </c>
      <c r="K164" s="4" t="n">
        <v>0</v>
      </c>
      <c r="L164" s="4" t="n">
        <v>4</v>
      </c>
      <c r="M164" s="4" t="n">
        <v>650480.06</v>
      </c>
      <c r="N164" s="4" t="n">
        <v>109012.07</v>
      </c>
    </row>
    <row r="165" customFormat="false" ht="15" hidden="false" customHeight="false" outlineLevel="0" collapsed="false">
      <c r="A165" s="4" t="s">
        <v>67</v>
      </c>
      <c r="B165" s="4" t="s">
        <v>19</v>
      </c>
      <c r="C165" s="4" t="s">
        <v>29</v>
      </c>
      <c r="D165" s="4" t="s">
        <v>23</v>
      </c>
      <c r="E165" s="4" t="n">
        <v>48438.85</v>
      </c>
      <c r="F165" s="4" t="n">
        <v>6992</v>
      </c>
      <c r="G165" s="4" t="n">
        <v>0.034</v>
      </c>
      <c r="H165" s="4" t="n">
        <v>20</v>
      </c>
      <c r="I165" s="4" t="n">
        <v>91</v>
      </c>
      <c r="J165" s="4" t="n">
        <v>4.36</v>
      </c>
      <c r="K165" s="4" t="n">
        <v>0</v>
      </c>
      <c r="L165" s="4" t="n">
        <v>4.2</v>
      </c>
      <c r="M165" s="4" t="n">
        <v>778298.88</v>
      </c>
      <c r="N165" s="4" t="n">
        <v>130076.72</v>
      </c>
    </row>
    <row r="166" customFormat="false" ht="15" hidden="false" customHeight="false" outlineLevel="0" collapsed="false">
      <c r="A166" s="4" t="s">
        <v>67</v>
      </c>
      <c r="B166" s="4" t="s">
        <v>20</v>
      </c>
      <c r="C166" s="4" t="s">
        <v>29</v>
      </c>
      <c r="D166" s="4" t="s">
        <v>23</v>
      </c>
      <c r="E166" s="4" t="n">
        <v>57143.3</v>
      </c>
      <c r="F166" s="4" t="n">
        <v>8038</v>
      </c>
      <c r="G166" s="4" t="n">
        <v>0.193</v>
      </c>
      <c r="H166" s="4" t="n">
        <v>17</v>
      </c>
      <c r="I166" s="4" t="n">
        <v>72.6</v>
      </c>
      <c r="J166" s="4"/>
      <c r="K166" s="4" t="n">
        <v>0</v>
      </c>
      <c r="L166" s="4" t="n">
        <v>4.2</v>
      </c>
      <c r="M166" s="4" t="n">
        <v>677096.71</v>
      </c>
      <c r="N166" s="4" t="n">
        <v>97174.11</v>
      </c>
    </row>
    <row r="167" customFormat="false" ht="15" hidden="false" customHeight="false" outlineLevel="0" collapsed="false">
      <c r="A167" s="4" t="s">
        <v>67</v>
      </c>
      <c r="B167" s="4" t="s">
        <v>21</v>
      </c>
      <c r="C167" s="4" t="s">
        <v>29</v>
      </c>
      <c r="D167" s="4" t="s">
        <v>23</v>
      </c>
      <c r="E167" s="4" t="n">
        <v>66870.62</v>
      </c>
      <c r="F167" s="4" t="n">
        <v>6055</v>
      </c>
      <c r="G167" s="4" t="n">
        <v>0.075</v>
      </c>
      <c r="H167" s="4" t="n">
        <v>19</v>
      </c>
      <c r="I167" s="4" t="n">
        <v>93.8</v>
      </c>
      <c r="J167" s="4" t="n">
        <v>0.54</v>
      </c>
      <c r="K167" s="4" t="n">
        <v>0</v>
      </c>
      <c r="L167" s="4" t="n">
        <v>4.3</v>
      </c>
      <c r="M167" s="4" t="n">
        <v>692008.64</v>
      </c>
      <c r="N167" s="4" t="n">
        <v>116337.87</v>
      </c>
    </row>
    <row r="168" customFormat="false" ht="15" hidden="false" customHeight="false" outlineLevel="0" collapsed="false">
      <c r="A168" s="4" t="s">
        <v>68</v>
      </c>
      <c r="B168" s="4" t="s">
        <v>16</v>
      </c>
      <c r="C168" s="4" t="s">
        <v>25</v>
      </c>
      <c r="D168" s="4" t="s">
        <v>33</v>
      </c>
      <c r="E168" s="4" t="n">
        <v>72150.53</v>
      </c>
      <c r="F168" s="4" t="n">
        <v>9323</v>
      </c>
      <c r="G168" s="4" t="n">
        <v>0.157</v>
      </c>
      <c r="H168" s="4" t="n">
        <v>22</v>
      </c>
      <c r="I168" s="4" t="n">
        <v>82.9</v>
      </c>
      <c r="J168" s="4" t="n">
        <v>11.37</v>
      </c>
      <c r="K168" s="4" t="n">
        <v>1</v>
      </c>
      <c r="L168" s="4" t="n">
        <v>4.3</v>
      </c>
      <c r="M168" s="4" t="n">
        <v>825797.91</v>
      </c>
      <c r="N168" s="4" t="n">
        <v>130945.24</v>
      </c>
    </row>
    <row r="169" customFormat="false" ht="15" hidden="false" customHeight="false" outlineLevel="0" collapsed="false">
      <c r="A169" s="4" t="s">
        <v>68</v>
      </c>
      <c r="B169" s="4" t="s">
        <v>19</v>
      </c>
      <c r="C169" s="4" t="s">
        <v>25</v>
      </c>
      <c r="D169" s="4" t="s">
        <v>33</v>
      </c>
      <c r="E169" s="4" t="n">
        <v>35303.3</v>
      </c>
      <c r="F169" s="4" t="n">
        <v>8789</v>
      </c>
      <c r="G169" s="4" t="n">
        <v>0.123</v>
      </c>
      <c r="H169" s="4" t="n">
        <v>22</v>
      </c>
      <c r="I169" s="4" t="n">
        <v>86.1</v>
      </c>
      <c r="J169" s="4" t="n">
        <v>9.43</v>
      </c>
      <c r="K169" s="4" t="n">
        <v>0</v>
      </c>
      <c r="L169" s="4" t="n">
        <v>4.2</v>
      </c>
      <c r="M169" s="4" t="n">
        <v>706285.52</v>
      </c>
      <c r="N169" s="4" t="n">
        <v>138014.72</v>
      </c>
    </row>
    <row r="170" customFormat="false" ht="15" hidden="false" customHeight="false" outlineLevel="0" collapsed="false">
      <c r="A170" s="4" t="s">
        <v>68</v>
      </c>
      <c r="B170" s="4" t="s">
        <v>20</v>
      </c>
      <c r="C170" s="4" t="s">
        <v>25</v>
      </c>
      <c r="D170" s="4" t="s">
        <v>33</v>
      </c>
      <c r="E170" s="4" t="n">
        <v>30301.86</v>
      </c>
      <c r="F170" s="4" t="n">
        <v>6939</v>
      </c>
      <c r="G170" s="4" t="n">
        <v>0.09</v>
      </c>
      <c r="H170" s="4" t="n">
        <v>16</v>
      </c>
      <c r="I170" s="4" t="n">
        <v>90.3</v>
      </c>
      <c r="J170" s="4" t="n">
        <v>3.49</v>
      </c>
      <c r="K170" s="4" t="n">
        <v>0</v>
      </c>
      <c r="L170" s="4" t="n">
        <v>4</v>
      </c>
      <c r="M170" s="4" t="n">
        <v>665534.7</v>
      </c>
      <c r="N170" s="4" t="n">
        <v>113167.73</v>
      </c>
    </row>
    <row r="171" customFormat="false" ht="15" hidden="false" customHeight="false" outlineLevel="0" collapsed="false">
      <c r="A171" s="4" t="s">
        <v>68</v>
      </c>
      <c r="B171" s="4" t="s">
        <v>21</v>
      </c>
      <c r="C171" s="4" t="s">
        <v>25</v>
      </c>
      <c r="D171" s="4" t="s">
        <v>33</v>
      </c>
      <c r="E171" s="4" t="n">
        <v>78432.14</v>
      </c>
      <c r="F171" s="4" t="n">
        <v>9440</v>
      </c>
      <c r="G171" s="4" t="n">
        <v>0.126</v>
      </c>
      <c r="H171" s="4" t="n">
        <v>23</v>
      </c>
      <c r="I171" s="4" t="n">
        <v>89.2</v>
      </c>
      <c r="J171" s="4" t="n">
        <v>7.86</v>
      </c>
      <c r="K171" s="4" t="n">
        <v>0</v>
      </c>
      <c r="L171" s="4" t="n">
        <v>4.1</v>
      </c>
      <c r="M171" s="4" t="n">
        <v>820729.29</v>
      </c>
      <c r="N171" s="4" t="n">
        <v>159325.47</v>
      </c>
    </row>
    <row r="172" customFormat="false" ht="15" hidden="false" customHeight="false" outlineLevel="0" collapsed="false">
      <c r="A172" s="4" t="s">
        <v>69</v>
      </c>
      <c r="B172" s="4" t="s">
        <v>16</v>
      </c>
      <c r="C172" s="4" t="s">
        <v>17</v>
      </c>
      <c r="D172" s="4" t="s">
        <v>18</v>
      </c>
      <c r="E172" s="4" t="n">
        <v>62059.18</v>
      </c>
      <c r="F172" s="4" t="n">
        <v>9374</v>
      </c>
      <c r="G172" s="4" t="n">
        <v>0.136</v>
      </c>
      <c r="H172" s="4" t="n">
        <v>25</v>
      </c>
      <c r="I172" s="4" t="n">
        <v>87.1</v>
      </c>
      <c r="J172" s="4" t="n">
        <v>12.55</v>
      </c>
      <c r="K172" s="4" t="n">
        <v>0</v>
      </c>
      <c r="L172" s="4" t="n">
        <v>4.9</v>
      </c>
      <c r="M172" s="4" t="n">
        <v>739831.73</v>
      </c>
      <c r="N172" s="4" t="n">
        <v>119490.21</v>
      </c>
    </row>
    <row r="173" customFormat="false" ht="15" hidden="false" customHeight="false" outlineLevel="0" collapsed="false">
      <c r="A173" s="4" t="s">
        <v>69</v>
      </c>
      <c r="B173" s="4" t="s">
        <v>19</v>
      </c>
      <c r="C173" s="4" t="s">
        <v>17</v>
      </c>
      <c r="D173" s="4" t="s">
        <v>18</v>
      </c>
      <c r="E173" s="4" t="n">
        <v>32834.48</v>
      </c>
      <c r="F173" s="4" t="n">
        <v>7576</v>
      </c>
      <c r="G173" s="4" t="n">
        <v>0.099</v>
      </c>
      <c r="H173" s="4" t="n">
        <v>15</v>
      </c>
      <c r="I173" s="4" t="n">
        <v>84.1</v>
      </c>
      <c r="J173" s="4" t="n">
        <v>3.48</v>
      </c>
      <c r="K173" s="4" t="n">
        <v>0</v>
      </c>
      <c r="L173" s="4" t="n">
        <v>5</v>
      </c>
      <c r="M173" s="4" t="n">
        <v>593637.14</v>
      </c>
      <c r="N173" s="4" t="n">
        <v>106648.14</v>
      </c>
    </row>
    <row r="174" customFormat="false" ht="15" hidden="false" customHeight="false" outlineLevel="0" collapsed="false">
      <c r="A174" s="4" t="s">
        <v>69</v>
      </c>
      <c r="B174" s="4" t="s">
        <v>20</v>
      </c>
      <c r="C174" s="4" t="s">
        <v>17</v>
      </c>
      <c r="D174" s="4" t="s">
        <v>18</v>
      </c>
      <c r="E174" s="4" t="n">
        <v>50825.08</v>
      </c>
      <c r="F174" s="4" t="n">
        <v>8949</v>
      </c>
      <c r="G174" s="4" t="n">
        <v>0.157</v>
      </c>
      <c r="H174" s="4" t="n">
        <v>21</v>
      </c>
      <c r="I174" s="4" t="n">
        <v>84.7</v>
      </c>
      <c r="J174" s="4" t="n">
        <v>7.73</v>
      </c>
      <c r="K174" s="4" t="n">
        <v>0</v>
      </c>
      <c r="L174" s="4" t="n">
        <v>4.9</v>
      </c>
      <c r="M174" s="4" t="n">
        <v>769702.76</v>
      </c>
      <c r="N174" s="4" t="n">
        <v>158697</v>
      </c>
    </row>
    <row r="175" customFormat="false" ht="15" hidden="false" customHeight="false" outlineLevel="0" collapsed="false">
      <c r="A175" s="4" t="s">
        <v>69</v>
      </c>
      <c r="B175" s="4" t="s">
        <v>21</v>
      </c>
      <c r="C175" s="4" t="s">
        <v>17</v>
      </c>
      <c r="D175" s="4" t="s">
        <v>18</v>
      </c>
      <c r="E175" s="4" t="n">
        <v>36606.51</v>
      </c>
      <c r="F175" s="4" t="n">
        <v>7671</v>
      </c>
      <c r="G175" s="4" t="n">
        <v>0.118</v>
      </c>
      <c r="H175" s="4" t="n">
        <v>18</v>
      </c>
      <c r="I175" s="4" t="n">
        <v>89.8</v>
      </c>
      <c r="J175" s="4" t="n">
        <v>0.25</v>
      </c>
      <c r="K175" s="4" t="n">
        <v>0</v>
      </c>
      <c r="L175" s="4" t="n">
        <v>4.4</v>
      </c>
      <c r="M175" s="4" t="n">
        <v>679731.57</v>
      </c>
      <c r="N175" s="4" t="n">
        <v>121546.42</v>
      </c>
    </row>
    <row r="176" customFormat="false" ht="15" hidden="false" customHeight="false" outlineLevel="0" collapsed="false">
      <c r="A176" s="4" t="s">
        <v>70</v>
      </c>
      <c r="B176" s="4" t="s">
        <v>16</v>
      </c>
      <c r="C176" s="4" t="s">
        <v>17</v>
      </c>
      <c r="D176" s="4" t="s">
        <v>18</v>
      </c>
      <c r="E176" s="4" t="n">
        <v>65237.79</v>
      </c>
      <c r="F176" s="4" t="n">
        <v>8741</v>
      </c>
      <c r="G176" s="4" t="n">
        <v>0.157</v>
      </c>
      <c r="H176" s="4" t="n">
        <v>20</v>
      </c>
      <c r="I176" s="4" t="n">
        <v>94.4</v>
      </c>
      <c r="J176" s="4" t="n">
        <v>6.43</v>
      </c>
      <c r="K176" s="4" t="n">
        <v>0</v>
      </c>
      <c r="L176" s="4" t="n">
        <v>3.3</v>
      </c>
      <c r="M176" s="4" t="n">
        <v>780344.18</v>
      </c>
      <c r="N176" s="4" t="n">
        <v>118239.09</v>
      </c>
    </row>
    <row r="177" customFormat="false" ht="15" hidden="false" customHeight="false" outlineLevel="0" collapsed="false">
      <c r="A177" s="4" t="s">
        <v>70</v>
      </c>
      <c r="B177" s="4" t="s">
        <v>19</v>
      </c>
      <c r="C177" s="4" t="s">
        <v>17</v>
      </c>
      <c r="D177" s="4" t="s">
        <v>18</v>
      </c>
      <c r="E177" s="4" t="n">
        <v>43645.98</v>
      </c>
      <c r="F177" s="4" t="n">
        <v>9480</v>
      </c>
      <c r="G177" s="4" t="n">
        <v>0.109</v>
      </c>
      <c r="H177" s="4" t="n">
        <v>22</v>
      </c>
      <c r="I177" s="4" t="n">
        <v>89</v>
      </c>
      <c r="J177" s="4" t="n">
        <v>2.11</v>
      </c>
      <c r="K177" s="4" t="n">
        <v>0</v>
      </c>
      <c r="L177" s="4" t="n">
        <v>3.1</v>
      </c>
      <c r="M177" s="4" t="n">
        <v>721364.11</v>
      </c>
      <c r="N177" s="4" t="n">
        <v>147272.81</v>
      </c>
    </row>
    <row r="178" customFormat="false" ht="15" hidden="false" customHeight="false" outlineLevel="0" collapsed="false">
      <c r="A178" s="4" t="s">
        <v>70</v>
      </c>
      <c r="B178" s="4" t="s">
        <v>20</v>
      </c>
      <c r="C178" s="4" t="s">
        <v>17</v>
      </c>
      <c r="D178" s="4" t="s">
        <v>18</v>
      </c>
      <c r="E178" s="4" t="n">
        <v>68040.15</v>
      </c>
      <c r="F178" s="4" t="n">
        <v>9826</v>
      </c>
      <c r="G178" s="4" t="n">
        <v>0.125</v>
      </c>
      <c r="H178" s="4" t="n">
        <v>20</v>
      </c>
      <c r="I178" s="4" t="n">
        <v>83.9</v>
      </c>
      <c r="J178" s="4" t="n">
        <v>9.12</v>
      </c>
      <c r="K178" s="4" t="n">
        <v>0</v>
      </c>
      <c r="L178" s="4" t="n">
        <v>3.6</v>
      </c>
      <c r="M178" s="4" t="n">
        <v>758138.29</v>
      </c>
      <c r="N178" s="4" t="n">
        <v>132975.26</v>
      </c>
    </row>
    <row r="179" customFormat="false" ht="15" hidden="false" customHeight="false" outlineLevel="0" collapsed="false">
      <c r="A179" s="4" t="s">
        <v>70</v>
      </c>
      <c r="B179" s="4" t="s">
        <v>21</v>
      </c>
      <c r="C179" s="4" t="s">
        <v>17</v>
      </c>
      <c r="D179" s="4" t="s">
        <v>18</v>
      </c>
      <c r="E179" s="4" t="n">
        <v>63043.94</v>
      </c>
      <c r="F179" s="4" t="n">
        <v>10402</v>
      </c>
      <c r="G179" s="4" t="n">
        <v>0.159</v>
      </c>
      <c r="H179" s="4" t="n">
        <v>23</v>
      </c>
      <c r="I179" s="4" t="n">
        <v>93.9</v>
      </c>
      <c r="J179" s="4" t="n">
        <v>2.71</v>
      </c>
      <c r="K179" s="4" t="n">
        <v>0</v>
      </c>
      <c r="L179" s="4" t="n">
        <v>3.1</v>
      </c>
      <c r="M179" s="4" t="n">
        <v>804264</v>
      </c>
      <c r="N179" s="4" t="n">
        <v>167117.91</v>
      </c>
    </row>
    <row r="180" customFormat="false" ht="15" hidden="false" customHeight="false" outlineLevel="0" collapsed="false">
      <c r="A180" s="4" t="s">
        <v>71</v>
      </c>
      <c r="B180" s="4" t="s">
        <v>16</v>
      </c>
      <c r="C180" s="4" t="s">
        <v>32</v>
      </c>
      <c r="D180" s="4" t="s">
        <v>26</v>
      </c>
      <c r="E180" s="4" t="n">
        <v>67494.09</v>
      </c>
      <c r="F180" s="4" t="n">
        <v>12361</v>
      </c>
      <c r="G180" s="4" t="n">
        <v>0.046</v>
      </c>
      <c r="H180" s="4" t="n">
        <v>24</v>
      </c>
      <c r="I180" s="4" t="n">
        <v>76.6</v>
      </c>
      <c r="J180" s="4" t="n">
        <v>3.65</v>
      </c>
      <c r="K180" s="4" t="n">
        <v>1</v>
      </c>
      <c r="L180" s="4" t="n">
        <v>3.7</v>
      </c>
      <c r="M180" s="4" t="n">
        <v>887537.75</v>
      </c>
      <c r="N180" s="4" t="n">
        <v>160362.92</v>
      </c>
    </row>
    <row r="181" customFormat="false" ht="15" hidden="false" customHeight="false" outlineLevel="0" collapsed="false">
      <c r="A181" s="4" t="s">
        <v>71</v>
      </c>
      <c r="B181" s="4" t="s">
        <v>19</v>
      </c>
      <c r="C181" s="4" t="s">
        <v>32</v>
      </c>
      <c r="D181" s="4" t="s">
        <v>26</v>
      </c>
      <c r="E181" s="4" t="n">
        <v>29389.32</v>
      </c>
      <c r="F181" s="4" t="n">
        <v>7925</v>
      </c>
      <c r="G181" s="4" t="n">
        <v>0.177</v>
      </c>
      <c r="H181" s="4" t="n">
        <v>21</v>
      </c>
      <c r="I181" s="4" t="n">
        <v>90.9</v>
      </c>
      <c r="J181" s="4" t="n">
        <v>7.86</v>
      </c>
      <c r="K181" s="4" t="n">
        <v>0</v>
      </c>
      <c r="L181" s="4" t="n">
        <v>4</v>
      </c>
      <c r="M181" s="4" t="n">
        <v>783582</v>
      </c>
      <c r="N181" s="4" t="n">
        <v>130670.93</v>
      </c>
    </row>
    <row r="182" customFormat="false" ht="15" hidden="false" customHeight="false" outlineLevel="0" collapsed="false">
      <c r="A182" s="4" t="s">
        <v>71</v>
      </c>
      <c r="B182" s="4" t="s">
        <v>20</v>
      </c>
      <c r="C182" s="4" t="s">
        <v>32</v>
      </c>
      <c r="D182" s="4" t="s">
        <v>26</v>
      </c>
      <c r="E182" s="4" t="n">
        <v>40535.09</v>
      </c>
      <c r="F182" s="4" t="n">
        <v>8870</v>
      </c>
      <c r="G182" s="4" t="n">
        <v>0.041</v>
      </c>
      <c r="H182" s="4" t="n">
        <v>21</v>
      </c>
      <c r="I182" s="4" t="n">
        <v>86.6</v>
      </c>
      <c r="J182" s="4" t="n">
        <v>0.3</v>
      </c>
      <c r="K182" s="4" t="n">
        <v>0</v>
      </c>
      <c r="L182" s="4" t="n">
        <v>4.1</v>
      </c>
      <c r="M182" s="4" t="n">
        <v>781955.52</v>
      </c>
      <c r="N182" s="4" t="n">
        <v>152578.71</v>
      </c>
    </row>
    <row r="183" customFormat="false" ht="15" hidden="false" customHeight="false" outlineLevel="0" collapsed="false">
      <c r="A183" s="4" t="s">
        <v>71</v>
      </c>
      <c r="B183" s="4" t="s">
        <v>21</v>
      </c>
      <c r="C183" s="4" t="s">
        <v>32</v>
      </c>
      <c r="D183" s="4" t="s">
        <v>26</v>
      </c>
      <c r="E183" s="4" t="n">
        <v>74881.56</v>
      </c>
      <c r="F183" s="4" t="n">
        <v>9999</v>
      </c>
      <c r="G183" s="4" t="n">
        <v>0.013</v>
      </c>
      <c r="H183" s="4" t="n">
        <v>20</v>
      </c>
      <c r="I183" s="4" t="n">
        <v>89.6</v>
      </c>
      <c r="J183" s="4" t="n">
        <v>8.44</v>
      </c>
      <c r="K183" s="4" t="n">
        <v>0</v>
      </c>
      <c r="L183" s="4" t="n">
        <v>4.1</v>
      </c>
      <c r="M183" s="4" t="n">
        <v>898031.04</v>
      </c>
      <c r="N183" s="4" t="n">
        <v>138666.5</v>
      </c>
    </row>
    <row r="184" customFormat="false" ht="15" hidden="false" customHeight="false" outlineLevel="0" collapsed="false">
      <c r="A184" s="4" t="s">
        <v>72</v>
      </c>
      <c r="B184" s="4" t="s">
        <v>16</v>
      </c>
      <c r="C184" s="4" t="s">
        <v>32</v>
      </c>
      <c r="D184" s="4" t="s">
        <v>18</v>
      </c>
      <c r="E184" s="4" t="n">
        <v>68491.11</v>
      </c>
      <c r="F184" s="4" t="n">
        <v>11154</v>
      </c>
      <c r="G184" s="4" t="n">
        <v>0.001</v>
      </c>
      <c r="H184" s="4" t="n">
        <v>24</v>
      </c>
      <c r="I184" s="4" t="n">
        <v>89.4</v>
      </c>
      <c r="J184" s="4" t="n">
        <v>5.27</v>
      </c>
      <c r="K184" s="4" t="n">
        <v>1</v>
      </c>
      <c r="L184" s="4" t="n">
        <v>3.9</v>
      </c>
      <c r="M184" s="4" t="n">
        <v>855341.28</v>
      </c>
      <c r="N184" s="4" t="n">
        <v>175823.8</v>
      </c>
    </row>
    <row r="185" customFormat="false" ht="15" hidden="false" customHeight="false" outlineLevel="0" collapsed="false">
      <c r="A185" s="4" t="s">
        <v>72</v>
      </c>
      <c r="B185" s="4" t="s">
        <v>19</v>
      </c>
      <c r="C185" s="4" t="s">
        <v>32</v>
      </c>
      <c r="D185" s="4" t="s">
        <v>18</v>
      </c>
      <c r="E185" s="4" t="n">
        <v>45209.25</v>
      </c>
      <c r="F185" s="4" t="n">
        <v>9287</v>
      </c>
      <c r="G185" s="4" t="n">
        <v>0.141</v>
      </c>
      <c r="H185" s="4" t="n">
        <v>22</v>
      </c>
      <c r="I185" s="4" t="n">
        <v>86.4</v>
      </c>
      <c r="J185" s="4" t="n">
        <v>13.22</v>
      </c>
      <c r="K185" s="4" t="n">
        <v>0</v>
      </c>
      <c r="L185" s="4" t="n">
        <v>3.6</v>
      </c>
      <c r="M185" s="4" t="n">
        <v>751393.88</v>
      </c>
      <c r="N185" s="4" t="n">
        <v>91480.32</v>
      </c>
    </row>
    <row r="186" customFormat="false" ht="15" hidden="false" customHeight="false" outlineLevel="0" collapsed="false">
      <c r="A186" s="4" t="s">
        <v>72</v>
      </c>
      <c r="B186" s="4" t="s">
        <v>20</v>
      </c>
      <c r="C186" s="4" t="s">
        <v>32</v>
      </c>
      <c r="D186" s="4" t="s">
        <v>18</v>
      </c>
      <c r="E186" s="4" t="n">
        <v>63010.23</v>
      </c>
      <c r="F186" s="4" t="n">
        <v>9812</v>
      </c>
      <c r="G186" s="4" t="n">
        <v>0.113</v>
      </c>
      <c r="H186" s="4" t="n">
        <v>24</v>
      </c>
      <c r="I186" s="4" t="n">
        <v>76.8</v>
      </c>
      <c r="J186" s="4" t="n">
        <v>1.02</v>
      </c>
      <c r="K186" s="4" t="n">
        <v>1</v>
      </c>
      <c r="L186" s="4" t="n">
        <v>3.8</v>
      </c>
      <c r="M186" s="4" t="n">
        <v>761077.08</v>
      </c>
      <c r="N186" s="4" t="n">
        <v>113605.93</v>
      </c>
    </row>
    <row r="187" customFormat="false" ht="15" hidden="false" customHeight="false" outlineLevel="0" collapsed="false">
      <c r="A187" s="4" t="s">
        <v>72</v>
      </c>
      <c r="B187" s="4" t="s">
        <v>21</v>
      </c>
      <c r="C187" s="4" t="s">
        <v>32</v>
      </c>
      <c r="D187" s="4" t="s">
        <v>18</v>
      </c>
      <c r="E187" s="4" t="n">
        <v>57948.88</v>
      </c>
      <c r="F187" s="4" t="n">
        <v>10741</v>
      </c>
      <c r="G187" s="4" t="n">
        <v>0.07</v>
      </c>
      <c r="H187" s="4" t="n">
        <v>25</v>
      </c>
      <c r="I187" s="4" t="n">
        <v>90.1</v>
      </c>
      <c r="J187" s="4" t="n">
        <v>4.03</v>
      </c>
      <c r="K187" s="4" t="n">
        <v>0</v>
      </c>
      <c r="L187" s="4" t="n">
        <v>3.1</v>
      </c>
      <c r="M187" s="4" t="n">
        <v>819660.59</v>
      </c>
      <c r="N187" s="4" t="n">
        <v>172699.95</v>
      </c>
    </row>
    <row r="188" customFormat="false" ht="15" hidden="false" customHeight="false" outlineLevel="0" collapsed="false">
      <c r="A188" s="4" t="s">
        <v>73</v>
      </c>
      <c r="B188" s="4" t="s">
        <v>16</v>
      </c>
      <c r="C188" s="4" t="s">
        <v>25</v>
      </c>
      <c r="D188" s="4" t="s">
        <v>23</v>
      </c>
      <c r="E188" s="4" t="n">
        <v>71941.62</v>
      </c>
      <c r="F188" s="4" t="n">
        <v>6084</v>
      </c>
      <c r="G188" s="4" t="n">
        <v>0.072</v>
      </c>
      <c r="H188" s="4" t="n">
        <v>13</v>
      </c>
      <c r="I188" s="4" t="n">
        <v>93.7</v>
      </c>
      <c r="J188" s="4" t="n">
        <v>2.34</v>
      </c>
      <c r="K188" s="4" t="n">
        <v>0</v>
      </c>
      <c r="L188" s="4" t="n">
        <v>4.4</v>
      </c>
      <c r="M188" s="4" t="n">
        <v>681855.56</v>
      </c>
      <c r="N188" s="4" t="n">
        <v>117645.61</v>
      </c>
    </row>
    <row r="189" customFormat="false" ht="15" hidden="false" customHeight="false" outlineLevel="0" collapsed="false">
      <c r="A189" s="4" t="s">
        <v>73</v>
      </c>
      <c r="B189" s="4" t="s">
        <v>19</v>
      </c>
      <c r="C189" s="4" t="s">
        <v>25</v>
      </c>
      <c r="D189" s="4" t="s">
        <v>23</v>
      </c>
      <c r="E189" s="4" t="n">
        <v>57147.88</v>
      </c>
      <c r="F189" s="4" t="n">
        <v>5252</v>
      </c>
      <c r="G189" s="4" t="n">
        <v>0.161</v>
      </c>
      <c r="H189" s="4" t="n">
        <v>15</v>
      </c>
      <c r="I189" s="4" t="n">
        <v>95.5</v>
      </c>
      <c r="J189" s="4" t="n">
        <v>8.51</v>
      </c>
      <c r="K189" s="4" t="n">
        <v>0</v>
      </c>
      <c r="L189" s="4" t="n">
        <v>4.4</v>
      </c>
      <c r="M189" s="4" t="n">
        <v>678311.17</v>
      </c>
      <c r="N189" s="4" t="n">
        <v>132029.76</v>
      </c>
    </row>
    <row r="190" customFormat="false" ht="15" hidden="false" customHeight="false" outlineLevel="0" collapsed="false">
      <c r="A190" s="4" t="s">
        <v>73</v>
      </c>
      <c r="B190" s="4" t="s">
        <v>20</v>
      </c>
      <c r="C190" s="4" t="s">
        <v>25</v>
      </c>
      <c r="D190" s="4" t="s">
        <v>23</v>
      </c>
      <c r="E190" s="4" t="n">
        <v>48031.74</v>
      </c>
      <c r="F190" s="4" t="n">
        <v>6516</v>
      </c>
      <c r="G190" s="4" t="n">
        <v>0.067</v>
      </c>
      <c r="H190" s="4" t="n">
        <v>14</v>
      </c>
      <c r="I190" s="4" t="n">
        <v>99</v>
      </c>
      <c r="J190" s="4" t="n">
        <v>0.48</v>
      </c>
      <c r="K190" s="4" t="n">
        <v>1</v>
      </c>
      <c r="L190" s="4" t="n">
        <v>4.3</v>
      </c>
      <c r="M190" s="4" t="n">
        <v>765906.95</v>
      </c>
      <c r="N190" s="4" t="n">
        <v>114005.9</v>
      </c>
    </row>
    <row r="191" customFormat="false" ht="15" hidden="false" customHeight="false" outlineLevel="0" collapsed="false">
      <c r="A191" s="4" t="s">
        <v>73</v>
      </c>
      <c r="B191" s="4" t="s">
        <v>21</v>
      </c>
      <c r="C191" s="4" t="s">
        <v>25</v>
      </c>
      <c r="D191" s="4" t="s">
        <v>23</v>
      </c>
      <c r="E191" s="4" t="n">
        <v>72784.8</v>
      </c>
      <c r="F191" s="4" t="n">
        <v>7932</v>
      </c>
      <c r="G191" s="4" t="n">
        <v>0.094</v>
      </c>
      <c r="H191" s="4" t="n">
        <v>20</v>
      </c>
      <c r="I191" s="4" t="n">
        <v>74.9</v>
      </c>
      <c r="J191" s="4" t="n">
        <v>13.62</v>
      </c>
      <c r="K191" s="4" t="n">
        <v>0</v>
      </c>
      <c r="L191" s="4" t="n">
        <v>4.2</v>
      </c>
      <c r="M191" s="4" t="n">
        <v>712546.38</v>
      </c>
      <c r="N191" s="4" t="n">
        <v>101480.04</v>
      </c>
    </row>
    <row r="192" customFormat="false" ht="15" hidden="false" customHeight="false" outlineLevel="0" collapsed="false">
      <c r="A192" s="4" t="s">
        <v>74</v>
      </c>
      <c r="B192" s="4" t="s">
        <v>16</v>
      </c>
      <c r="C192" s="4" t="s">
        <v>17</v>
      </c>
      <c r="D192" s="4" t="s">
        <v>23</v>
      </c>
      <c r="E192" s="4" t="n">
        <v>71641.9</v>
      </c>
      <c r="F192" s="4" t="n">
        <v>3506</v>
      </c>
      <c r="G192" s="4" t="n">
        <v>0</v>
      </c>
      <c r="H192" s="4" t="n">
        <v>11</v>
      </c>
      <c r="I192" s="4" t="n">
        <v>86.4</v>
      </c>
      <c r="J192" s="4" t="n">
        <v>7.77</v>
      </c>
      <c r="K192" s="4" t="n">
        <v>0</v>
      </c>
      <c r="L192" s="4" t="n">
        <v>4.1</v>
      </c>
      <c r="M192" s="4" t="n">
        <v>625993.83</v>
      </c>
      <c r="N192" s="4" t="n">
        <v>98960.32</v>
      </c>
    </row>
    <row r="193" customFormat="false" ht="15" hidden="false" customHeight="false" outlineLevel="0" collapsed="false">
      <c r="A193" s="4" t="s">
        <v>74</v>
      </c>
      <c r="B193" s="4" t="s">
        <v>19</v>
      </c>
      <c r="C193" s="4" t="s">
        <v>17</v>
      </c>
      <c r="D193" s="4" t="s">
        <v>23</v>
      </c>
      <c r="E193" s="4" t="n">
        <v>55788.61</v>
      </c>
      <c r="F193" s="4" t="n">
        <v>2312</v>
      </c>
      <c r="G193" s="4" t="n">
        <v>0.058</v>
      </c>
      <c r="H193" s="4" t="n">
        <v>10</v>
      </c>
      <c r="I193" s="4" t="n">
        <v>91.3</v>
      </c>
      <c r="J193" s="4" t="n">
        <v>1.99</v>
      </c>
      <c r="K193" s="4" t="n">
        <v>0</v>
      </c>
      <c r="L193" s="4" t="n">
        <v>3.8</v>
      </c>
      <c r="M193" s="4" t="n">
        <v>550962.93</v>
      </c>
      <c r="N193" s="4" t="n">
        <v>97144.58</v>
      </c>
    </row>
    <row r="194" customFormat="false" ht="15" hidden="false" customHeight="false" outlineLevel="0" collapsed="false">
      <c r="A194" s="4" t="s">
        <v>74</v>
      </c>
      <c r="B194" s="4" t="s">
        <v>20</v>
      </c>
      <c r="C194" s="4" t="s">
        <v>17</v>
      </c>
      <c r="D194" s="4" t="s">
        <v>23</v>
      </c>
      <c r="E194" s="4" t="n">
        <v>37705.88</v>
      </c>
      <c r="F194" s="4" t="n">
        <v>1268</v>
      </c>
      <c r="G194" s="4" t="n">
        <v>0.259</v>
      </c>
      <c r="H194" s="4" t="n">
        <v>9</v>
      </c>
      <c r="I194" s="4" t="n">
        <v>84.1</v>
      </c>
      <c r="J194" s="4" t="n">
        <v>4.77</v>
      </c>
      <c r="K194" s="4" t="n">
        <v>0</v>
      </c>
      <c r="L194" s="4" t="n">
        <v>3.8</v>
      </c>
      <c r="M194" s="4" t="n">
        <v>443275.59</v>
      </c>
      <c r="N194" s="4" t="n">
        <v>53544.36</v>
      </c>
    </row>
    <row r="195" customFormat="false" ht="15" hidden="false" customHeight="false" outlineLevel="0" collapsed="false">
      <c r="A195" s="4" t="s">
        <v>74</v>
      </c>
      <c r="B195" s="4" t="s">
        <v>21</v>
      </c>
      <c r="C195" s="4" t="s">
        <v>17</v>
      </c>
      <c r="D195" s="4" t="s">
        <v>23</v>
      </c>
      <c r="E195" s="4" t="n">
        <v>54966.18</v>
      </c>
      <c r="F195" s="4" t="n">
        <v>4423</v>
      </c>
      <c r="G195" s="4" t="n">
        <v>0.186</v>
      </c>
      <c r="H195" s="4" t="n">
        <v>13</v>
      </c>
      <c r="I195" s="4" t="n">
        <v>88.7</v>
      </c>
      <c r="J195" s="4" t="n">
        <v>0.2</v>
      </c>
      <c r="K195" s="4" t="n">
        <v>0</v>
      </c>
      <c r="L195" s="4" t="n">
        <v>4.4</v>
      </c>
      <c r="M195" s="4" t="n">
        <v>554012.07</v>
      </c>
      <c r="N195" s="4" t="n">
        <v>81101.62</v>
      </c>
    </row>
    <row r="196" customFormat="false" ht="15" hidden="false" customHeight="false" outlineLevel="0" collapsed="false">
      <c r="A196" s="4" t="s">
        <v>75</v>
      </c>
      <c r="B196" s="4" t="s">
        <v>16</v>
      </c>
      <c r="C196" s="4" t="s">
        <v>32</v>
      </c>
      <c r="D196" s="4" t="s">
        <v>18</v>
      </c>
      <c r="E196" s="4" t="n">
        <v>81796.74</v>
      </c>
      <c r="F196" s="4" t="n">
        <v>6177</v>
      </c>
      <c r="G196" s="4" t="n">
        <v>0.164</v>
      </c>
      <c r="H196" s="4" t="n">
        <v>14</v>
      </c>
      <c r="I196" s="4" t="n">
        <v>87.9</v>
      </c>
      <c r="J196" s="4" t="n">
        <v>0.53</v>
      </c>
      <c r="K196" s="4" t="n">
        <v>0</v>
      </c>
      <c r="L196" s="4" t="n">
        <v>3.2</v>
      </c>
      <c r="M196" s="4" t="n">
        <v>643428.85</v>
      </c>
      <c r="N196" s="4" t="n">
        <v>94477.63</v>
      </c>
    </row>
    <row r="197" customFormat="false" ht="15" hidden="false" customHeight="false" outlineLevel="0" collapsed="false">
      <c r="A197" s="4" t="s">
        <v>75</v>
      </c>
      <c r="B197" s="4" t="s">
        <v>19</v>
      </c>
      <c r="C197" s="4" t="s">
        <v>32</v>
      </c>
      <c r="D197" s="4" t="s">
        <v>18</v>
      </c>
      <c r="E197" s="4" t="n">
        <v>51133.43</v>
      </c>
      <c r="F197" s="4" t="n">
        <v>5150</v>
      </c>
      <c r="G197" s="4" t="n">
        <v>0.15</v>
      </c>
      <c r="H197" s="4" t="n">
        <v>12</v>
      </c>
      <c r="I197" s="4" t="n">
        <v>88.5</v>
      </c>
      <c r="J197" s="4" t="n">
        <v>1.54</v>
      </c>
      <c r="K197" s="4" t="n">
        <v>0</v>
      </c>
      <c r="L197" s="4" t="n">
        <v>3.2</v>
      </c>
      <c r="M197" s="4" t="n">
        <v>611924.27</v>
      </c>
      <c r="N197" s="4" t="n">
        <v>115488.75</v>
      </c>
    </row>
    <row r="198" customFormat="false" ht="15" hidden="false" customHeight="false" outlineLevel="0" collapsed="false">
      <c r="A198" s="4" t="s">
        <v>75</v>
      </c>
      <c r="B198" s="4" t="s">
        <v>20</v>
      </c>
      <c r="C198" s="4" t="s">
        <v>32</v>
      </c>
      <c r="D198" s="4" t="s">
        <v>18</v>
      </c>
      <c r="E198" s="4" t="n">
        <v>40220.18</v>
      </c>
      <c r="F198" s="4" t="n">
        <v>3783</v>
      </c>
      <c r="G198" s="4" t="n">
        <v>0.089</v>
      </c>
      <c r="H198" s="4" t="n">
        <v>14</v>
      </c>
      <c r="I198" s="4" t="n">
        <v>86.6</v>
      </c>
      <c r="J198" s="4" t="n">
        <v>3.63</v>
      </c>
      <c r="K198" s="4" t="n">
        <v>0</v>
      </c>
      <c r="L198" s="4" t="n">
        <v>3.7</v>
      </c>
      <c r="M198" s="4" t="n">
        <v>559422.02</v>
      </c>
      <c r="N198" s="4" t="n">
        <v>73528.74</v>
      </c>
    </row>
    <row r="199" customFormat="false" ht="15" hidden="false" customHeight="false" outlineLevel="0" collapsed="false">
      <c r="A199" s="4" t="s">
        <v>75</v>
      </c>
      <c r="B199" s="4" t="s">
        <v>21</v>
      </c>
      <c r="C199" s="4" t="s">
        <v>32</v>
      </c>
      <c r="D199" s="4" t="s">
        <v>18</v>
      </c>
      <c r="E199" s="4" t="n">
        <v>41657.64</v>
      </c>
      <c r="F199" s="4" t="n">
        <v>3135</v>
      </c>
      <c r="G199" s="4" t="n">
        <v>0.229</v>
      </c>
      <c r="H199" s="4" t="n">
        <v>7</v>
      </c>
      <c r="I199" s="4" t="n">
        <v>85.4</v>
      </c>
      <c r="J199" s="4" t="n">
        <v>13.48</v>
      </c>
      <c r="K199" s="4" t="n">
        <v>0</v>
      </c>
      <c r="L199" s="4"/>
      <c r="M199" s="4" t="n">
        <v>449465.06</v>
      </c>
      <c r="N199" s="4" t="n">
        <v>65694.78</v>
      </c>
    </row>
    <row r="200" customFormat="false" ht="15" hidden="false" customHeight="false" outlineLevel="0" collapsed="false">
      <c r="A200" s="4" t="s">
        <v>76</v>
      </c>
      <c r="B200" s="4" t="s">
        <v>16</v>
      </c>
      <c r="C200" s="4" t="s">
        <v>25</v>
      </c>
      <c r="D200" s="4" t="s">
        <v>18</v>
      </c>
      <c r="E200" s="4" t="n">
        <v>71851.45</v>
      </c>
      <c r="F200" s="4" t="n">
        <v>4970</v>
      </c>
      <c r="G200" s="4" t="n">
        <v>0.098</v>
      </c>
      <c r="H200" s="4" t="n">
        <v>11</v>
      </c>
      <c r="I200" s="4" t="n">
        <v>89.6</v>
      </c>
      <c r="J200" s="4" t="n">
        <v>0.2</v>
      </c>
      <c r="K200" s="4" t="n">
        <v>0</v>
      </c>
      <c r="L200" s="4" t="n">
        <v>4.2</v>
      </c>
      <c r="M200" s="4" t="n">
        <v>691447.43</v>
      </c>
      <c r="N200" s="4" t="n">
        <v>114077.69</v>
      </c>
    </row>
    <row r="201" customFormat="false" ht="15" hidden="false" customHeight="false" outlineLevel="0" collapsed="false">
      <c r="A201" s="4" t="s">
        <v>76</v>
      </c>
      <c r="B201" s="4" t="s">
        <v>19</v>
      </c>
      <c r="C201" s="4" t="s">
        <v>25</v>
      </c>
      <c r="D201" s="4" t="s">
        <v>18</v>
      </c>
      <c r="E201" s="4" t="n">
        <v>54002.83</v>
      </c>
      <c r="F201" s="4" t="n">
        <v>4366</v>
      </c>
      <c r="G201" s="4" t="n">
        <v>0.027</v>
      </c>
      <c r="H201" s="4" t="n">
        <v>15</v>
      </c>
      <c r="I201" s="4" t="n">
        <v>90.6</v>
      </c>
      <c r="J201" s="4" t="n">
        <v>12.82</v>
      </c>
      <c r="K201" s="4" t="n">
        <v>0</v>
      </c>
      <c r="L201" s="4" t="n">
        <v>4.6</v>
      </c>
      <c r="M201" s="4" t="n">
        <v>574066.61</v>
      </c>
      <c r="N201" s="4" t="n">
        <v>124674.67</v>
      </c>
    </row>
    <row r="202" customFormat="false" ht="15" hidden="false" customHeight="false" outlineLevel="0" collapsed="false">
      <c r="A202" s="4" t="s">
        <v>76</v>
      </c>
      <c r="B202" s="4" t="s">
        <v>20</v>
      </c>
      <c r="C202" s="4" t="s">
        <v>25</v>
      </c>
      <c r="D202" s="4" t="s">
        <v>18</v>
      </c>
      <c r="E202" s="4" t="n">
        <v>54479.33</v>
      </c>
      <c r="F202" s="4" t="n">
        <v>5012</v>
      </c>
      <c r="G202" s="4" t="n">
        <v>0.284</v>
      </c>
      <c r="H202" s="4" t="n">
        <v>13</v>
      </c>
      <c r="I202" s="4" t="n">
        <v>86</v>
      </c>
      <c r="J202" s="4" t="n">
        <v>2.24</v>
      </c>
      <c r="K202" s="4" t="n">
        <v>1</v>
      </c>
      <c r="L202" s="4" t="n">
        <v>4.3</v>
      </c>
      <c r="M202" s="4" t="n">
        <v>578949.84</v>
      </c>
      <c r="N202" s="4" t="n">
        <v>80253.65</v>
      </c>
    </row>
    <row r="203" customFormat="false" ht="15" hidden="false" customHeight="false" outlineLevel="0" collapsed="false">
      <c r="A203" s="4" t="s">
        <v>76</v>
      </c>
      <c r="B203" s="4" t="s">
        <v>21</v>
      </c>
      <c r="C203" s="4" t="s">
        <v>25</v>
      </c>
      <c r="D203" s="4" t="s">
        <v>18</v>
      </c>
      <c r="E203" s="4" t="n">
        <v>61391.8</v>
      </c>
      <c r="F203" s="4" t="n">
        <v>5575</v>
      </c>
      <c r="G203" s="4" t="n">
        <v>0.189</v>
      </c>
      <c r="H203" s="4" t="n">
        <v>18</v>
      </c>
      <c r="I203" s="4" t="n">
        <v>90</v>
      </c>
      <c r="J203" s="4" t="n">
        <v>1.8</v>
      </c>
      <c r="K203" s="4" t="n">
        <v>0</v>
      </c>
      <c r="L203" s="4" t="n">
        <v>4.8</v>
      </c>
      <c r="M203" s="4" t="n">
        <v>735786.64</v>
      </c>
      <c r="N203" s="4" t="n">
        <v>126540.66</v>
      </c>
    </row>
    <row r="204" customFormat="false" ht="15" hidden="false" customHeight="false" outlineLevel="0" collapsed="false">
      <c r="A204" s="4" t="s">
        <v>77</v>
      </c>
      <c r="B204" s="4" t="s">
        <v>16</v>
      </c>
      <c r="C204" s="4" t="s">
        <v>17</v>
      </c>
      <c r="D204" s="4" t="s">
        <v>26</v>
      </c>
      <c r="E204" s="4" t="n">
        <v>22312.93</v>
      </c>
      <c r="F204" s="4" t="n">
        <v>5955</v>
      </c>
      <c r="G204" s="4" t="n">
        <v>0.123</v>
      </c>
      <c r="H204" s="4" t="n">
        <v>13</v>
      </c>
      <c r="I204" s="4" t="n">
        <v>84.2</v>
      </c>
      <c r="J204" s="4" t="n">
        <v>0.41</v>
      </c>
      <c r="K204" s="4" t="n">
        <v>1</v>
      </c>
      <c r="L204" s="4" t="n">
        <v>4.6</v>
      </c>
      <c r="M204" s="4" t="n">
        <v>598904.9</v>
      </c>
      <c r="N204" s="4" t="n">
        <v>72861</v>
      </c>
    </row>
    <row r="205" customFormat="false" ht="15" hidden="false" customHeight="false" outlineLevel="0" collapsed="false">
      <c r="A205" s="4" t="s">
        <v>77</v>
      </c>
      <c r="B205" s="4" t="s">
        <v>19</v>
      </c>
      <c r="C205" s="4" t="s">
        <v>17</v>
      </c>
      <c r="D205" s="4" t="s">
        <v>26</v>
      </c>
      <c r="E205" s="4" t="n">
        <v>78111.97</v>
      </c>
      <c r="F205" s="4" t="n">
        <v>6389</v>
      </c>
      <c r="G205" s="4" t="n">
        <v>0.15</v>
      </c>
      <c r="H205" s="4" t="n">
        <v>13</v>
      </c>
      <c r="I205" s="4" t="n">
        <v>83.9</v>
      </c>
      <c r="J205" s="4" t="n">
        <v>3.05</v>
      </c>
      <c r="K205" s="4" t="n">
        <v>0</v>
      </c>
      <c r="L205" s="4" t="n">
        <v>4.8</v>
      </c>
      <c r="M205" s="4" t="n">
        <v>787715.51</v>
      </c>
      <c r="N205" s="4" t="n">
        <v>128969.62</v>
      </c>
    </row>
    <row r="206" customFormat="false" ht="15" hidden="false" customHeight="false" outlineLevel="0" collapsed="false">
      <c r="A206" s="4" t="s">
        <v>77</v>
      </c>
      <c r="B206" s="4" t="s">
        <v>20</v>
      </c>
      <c r="C206" s="4" t="s">
        <v>17</v>
      </c>
      <c r="D206" s="4" t="s">
        <v>26</v>
      </c>
      <c r="E206" s="4" t="n">
        <v>35203.23</v>
      </c>
      <c r="F206" s="4" t="n">
        <v>6896</v>
      </c>
      <c r="G206" s="4" t="n">
        <v>0.032</v>
      </c>
      <c r="H206" s="4" t="n">
        <v>14</v>
      </c>
      <c r="I206" s="4" t="n">
        <v>80.8</v>
      </c>
      <c r="J206" s="4" t="n">
        <v>8.44</v>
      </c>
      <c r="K206" s="4" t="n">
        <v>1</v>
      </c>
      <c r="L206" s="4" t="n">
        <v>5</v>
      </c>
      <c r="M206" s="4" t="n">
        <v>607084.92</v>
      </c>
      <c r="N206" s="4" t="n">
        <v>98558.49</v>
      </c>
    </row>
    <row r="207" customFormat="false" ht="15" hidden="false" customHeight="false" outlineLevel="0" collapsed="false">
      <c r="A207" s="4" t="s">
        <v>77</v>
      </c>
      <c r="B207" s="4" t="s">
        <v>21</v>
      </c>
      <c r="C207" s="4" t="s">
        <v>17</v>
      </c>
      <c r="D207" s="4" t="s">
        <v>26</v>
      </c>
      <c r="E207" s="4" t="n">
        <v>64104.28</v>
      </c>
      <c r="F207" s="4" t="n">
        <v>6015</v>
      </c>
      <c r="G207" s="4" t="n">
        <v>0.127</v>
      </c>
      <c r="H207" s="4" t="n">
        <v>15</v>
      </c>
      <c r="I207" s="4" t="n">
        <v>88.7</v>
      </c>
      <c r="J207" s="4" t="n">
        <v>0.78</v>
      </c>
      <c r="K207" s="4" t="n">
        <v>0</v>
      </c>
      <c r="L207" s="4" t="n">
        <v>4</v>
      </c>
      <c r="M207" s="4" t="n">
        <v>650795.49</v>
      </c>
      <c r="N207" s="4" t="n">
        <v>103035.89</v>
      </c>
    </row>
    <row r="208" customFormat="false" ht="15" hidden="false" customHeight="false" outlineLevel="0" collapsed="false">
      <c r="A208" s="4" t="s">
        <v>78</v>
      </c>
      <c r="B208" s="4" t="s">
        <v>16</v>
      </c>
      <c r="C208" s="4" t="s">
        <v>17</v>
      </c>
      <c r="D208" s="4" t="s">
        <v>33</v>
      </c>
      <c r="E208" s="4" t="n">
        <v>92090.14</v>
      </c>
      <c r="F208" s="4" t="n">
        <v>9476</v>
      </c>
      <c r="G208" s="4" t="n">
        <v>0.07</v>
      </c>
      <c r="H208" s="4" t="n">
        <v>24</v>
      </c>
      <c r="I208" s="4" t="n">
        <v>94.3</v>
      </c>
      <c r="J208" s="4" t="n">
        <v>0.87</v>
      </c>
      <c r="K208" s="4" t="n">
        <v>0</v>
      </c>
      <c r="L208" s="4" t="n">
        <v>3.7</v>
      </c>
      <c r="M208" s="4" t="n">
        <v>825060.52</v>
      </c>
      <c r="N208" s="4" t="n">
        <v>143613.15</v>
      </c>
    </row>
    <row r="209" customFormat="false" ht="15" hidden="false" customHeight="false" outlineLevel="0" collapsed="false">
      <c r="A209" s="4" t="s">
        <v>78</v>
      </c>
      <c r="B209" s="4" t="s">
        <v>19</v>
      </c>
      <c r="C209" s="4" t="s">
        <v>17</v>
      </c>
      <c r="D209" s="4" t="s">
        <v>33</v>
      </c>
      <c r="E209" s="4" t="n">
        <v>54300.87</v>
      </c>
      <c r="F209" s="4" t="n">
        <v>7875</v>
      </c>
      <c r="G209" s="4" t="n">
        <v>0.107</v>
      </c>
      <c r="H209" s="4" t="n">
        <v>19</v>
      </c>
      <c r="I209" s="4" t="n">
        <v>94.1</v>
      </c>
      <c r="J209" s="4" t="n">
        <v>0.95</v>
      </c>
      <c r="K209" s="4" t="n">
        <v>0</v>
      </c>
      <c r="L209" s="4" t="n">
        <v>3.7</v>
      </c>
      <c r="M209" s="4" t="n">
        <v>795464.47</v>
      </c>
      <c r="N209" s="4" t="n">
        <v>161150.52</v>
      </c>
    </row>
    <row r="210" customFormat="false" ht="15" hidden="false" customHeight="false" outlineLevel="0" collapsed="false">
      <c r="A210" s="4" t="s">
        <v>78</v>
      </c>
      <c r="B210" s="4" t="s">
        <v>20</v>
      </c>
      <c r="C210" s="4" t="s">
        <v>17</v>
      </c>
      <c r="D210" s="4" t="s">
        <v>33</v>
      </c>
      <c r="E210" s="4" t="n">
        <v>37983.35</v>
      </c>
      <c r="F210" s="4" t="n">
        <v>9283</v>
      </c>
      <c r="G210" s="4" t="n">
        <v>0.149</v>
      </c>
      <c r="H210" s="4" t="n">
        <v>19</v>
      </c>
      <c r="I210" s="4" t="n">
        <v>83.2</v>
      </c>
      <c r="J210" s="4" t="n">
        <v>3.82</v>
      </c>
      <c r="K210" s="4" t="n">
        <v>0</v>
      </c>
      <c r="L210" s="4" t="n">
        <v>3.7</v>
      </c>
      <c r="M210" s="4" t="n">
        <v>671868.59</v>
      </c>
      <c r="N210" s="4" t="n">
        <v>71003.28</v>
      </c>
    </row>
    <row r="211" customFormat="false" ht="15" hidden="false" customHeight="false" outlineLevel="0" collapsed="false">
      <c r="A211" s="4" t="s">
        <v>78</v>
      </c>
      <c r="B211" s="4" t="s">
        <v>21</v>
      </c>
      <c r="C211" s="4" t="s">
        <v>17</v>
      </c>
      <c r="D211" s="4" t="s">
        <v>33</v>
      </c>
      <c r="E211" s="4" t="n">
        <v>56413.83</v>
      </c>
      <c r="F211" s="4" t="n">
        <v>8303</v>
      </c>
      <c r="G211" s="4" t="n">
        <v>0.116</v>
      </c>
      <c r="H211" s="4" t="n">
        <v>18</v>
      </c>
      <c r="I211" s="4" t="n">
        <v>93.6</v>
      </c>
      <c r="J211" s="4" t="n">
        <v>2.7</v>
      </c>
      <c r="K211" s="4" t="n">
        <v>0</v>
      </c>
      <c r="L211" s="4" t="n">
        <v>3.7</v>
      </c>
      <c r="M211" s="4" t="n">
        <v>675917.63</v>
      </c>
      <c r="N211" s="4" t="n">
        <v>112564.75</v>
      </c>
    </row>
    <row r="212" customFormat="false" ht="15" hidden="false" customHeight="false" outlineLevel="0" collapsed="false">
      <c r="A212" s="4" t="s">
        <v>79</v>
      </c>
      <c r="B212" s="4" t="s">
        <v>16</v>
      </c>
      <c r="C212" s="4" t="s">
        <v>17</v>
      </c>
      <c r="D212" s="4" t="s">
        <v>23</v>
      </c>
      <c r="E212" s="4" t="n">
        <v>63457.19</v>
      </c>
      <c r="F212" s="4" t="n">
        <v>10125</v>
      </c>
      <c r="G212" s="4" t="n">
        <v>0.097</v>
      </c>
      <c r="H212" s="4" t="n">
        <v>24</v>
      </c>
      <c r="I212" s="4" t="n">
        <v>87</v>
      </c>
      <c r="J212" s="4" t="n">
        <v>3.84</v>
      </c>
      <c r="K212" s="4" t="n">
        <v>1</v>
      </c>
      <c r="L212" s="4" t="n">
        <v>3.7</v>
      </c>
      <c r="M212" s="4" t="n">
        <v>810446.53</v>
      </c>
      <c r="N212" s="4" t="n">
        <v>200575.34</v>
      </c>
    </row>
    <row r="213" customFormat="false" ht="15" hidden="false" customHeight="false" outlineLevel="0" collapsed="false">
      <c r="A213" s="4" t="s">
        <v>79</v>
      </c>
      <c r="B213" s="4" t="s">
        <v>19</v>
      </c>
      <c r="C213" s="4" t="s">
        <v>17</v>
      </c>
      <c r="D213" s="4" t="s">
        <v>23</v>
      </c>
      <c r="E213" s="4" t="n">
        <v>62949.7</v>
      </c>
      <c r="F213" s="4" t="n">
        <v>9458</v>
      </c>
      <c r="G213" s="4" t="n">
        <v>0.171</v>
      </c>
      <c r="H213" s="4" t="n">
        <v>19</v>
      </c>
      <c r="I213" s="4" t="n">
        <v>84.9</v>
      </c>
      <c r="J213" s="4" t="n">
        <v>5.09</v>
      </c>
      <c r="K213" s="4" t="n">
        <v>0</v>
      </c>
      <c r="L213" s="4" t="n">
        <v>3.3</v>
      </c>
      <c r="M213" s="4" t="n">
        <v>691288.19</v>
      </c>
      <c r="N213" s="4" t="n">
        <v>159074.14</v>
      </c>
    </row>
    <row r="214" customFormat="false" ht="15" hidden="false" customHeight="false" outlineLevel="0" collapsed="false">
      <c r="A214" s="4" t="s">
        <v>79</v>
      </c>
      <c r="B214" s="4" t="s">
        <v>20</v>
      </c>
      <c r="C214" s="4" t="s">
        <v>17</v>
      </c>
      <c r="D214" s="4" t="s">
        <v>23</v>
      </c>
      <c r="E214" s="4" t="n">
        <v>107970.19</v>
      </c>
      <c r="F214" s="4" t="n">
        <v>12870</v>
      </c>
      <c r="G214" s="4" t="n">
        <v>0.029</v>
      </c>
      <c r="H214" s="4" t="n">
        <v>31</v>
      </c>
      <c r="I214" s="4" t="n">
        <v>91.7</v>
      </c>
      <c r="J214" s="4" t="n">
        <v>3.82</v>
      </c>
      <c r="K214" s="4" t="n">
        <v>1</v>
      </c>
      <c r="L214" s="4" t="n">
        <v>3.7</v>
      </c>
      <c r="M214" s="4" t="n">
        <v>946833.54</v>
      </c>
      <c r="N214" s="4" t="n">
        <v>184540.31</v>
      </c>
    </row>
    <row r="215" customFormat="false" ht="15" hidden="false" customHeight="false" outlineLevel="0" collapsed="false">
      <c r="A215" s="4" t="s">
        <v>79</v>
      </c>
      <c r="B215" s="4" t="s">
        <v>21</v>
      </c>
      <c r="C215" s="4" t="s">
        <v>17</v>
      </c>
      <c r="D215" s="4" t="s">
        <v>23</v>
      </c>
      <c r="E215" s="4" t="n">
        <v>49405.75</v>
      </c>
      <c r="F215" s="4" t="n">
        <v>9752</v>
      </c>
      <c r="G215" s="4" t="n">
        <v>0.093</v>
      </c>
      <c r="H215" s="4" t="n">
        <v>21</v>
      </c>
      <c r="I215" s="4" t="n">
        <v>87</v>
      </c>
      <c r="J215" s="4" t="n">
        <v>12.28</v>
      </c>
      <c r="K215" s="4" t="n">
        <v>0</v>
      </c>
      <c r="L215" s="4" t="n">
        <v>4.1</v>
      </c>
      <c r="M215" s="4" t="n">
        <v>761963.23</v>
      </c>
      <c r="N215" s="4" t="n">
        <v>150113.61</v>
      </c>
    </row>
    <row r="216" customFormat="false" ht="15" hidden="false" customHeight="false" outlineLevel="0" collapsed="false">
      <c r="A216" s="4" t="s">
        <v>80</v>
      </c>
      <c r="B216" s="4" t="s">
        <v>16</v>
      </c>
      <c r="C216" s="4" t="s">
        <v>32</v>
      </c>
      <c r="D216" s="4" t="s">
        <v>18</v>
      </c>
      <c r="E216" s="4" t="n">
        <v>50887.46</v>
      </c>
      <c r="F216" s="4" t="n">
        <v>9505</v>
      </c>
      <c r="G216" s="4" t="n">
        <v>0.091</v>
      </c>
      <c r="H216" s="4" t="n">
        <v>25</v>
      </c>
      <c r="I216" s="4" t="n">
        <v>89.7</v>
      </c>
      <c r="J216" s="4" t="n">
        <v>2.8</v>
      </c>
      <c r="K216" s="4" t="n">
        <v>0</v>
      </c>
      <c r="L216" s="4" t="n">
        <v>4.3</v>
      </c>
      <c r="M216" s="4" t="n">
        <v>812152.6</v>
      </c>
      <c r="N216" s="4" t="n">
        <v>138419.43</v>
      </c>
    </row>
    <row r="217" customFormat="false" ht="15" hidden="false" customHeight="false" outlineLevel="0" collapsed="false">
      <c r="A217" s="4" t="s">
        <v>80</v>
      </c>
      <c r="B217" s="4" t="s">
        <v>19</v>
      </c>
      <c r="C217" s="4" t="s">
        <v>32</v>
      </c>
      <c r="D217" s="4" t="s">
        <v>18</v>
      </c>
      <c r="E217" s="4" t="n">
        <v>41819.45</v>
      </c>
      <c r="F217" s="4" t="n">
        <v>9412</v>
      </c>
      <c r="G217" s="4" t="n">
        <v>0.15</v>
      </c>
      <c r="H217" s="4" t="n">
        <v>22</v>
      </c>
      <c r="I217" s="4" t="n">
        <v>91</v>
      </c>
      <c r="J217" s="4" t="n">
        <v>3.67</v>
      </c>
      <c r="K217" s="4" t="n">
        <v>0</v>
      </c>
      <c r="L217" s="4" t="n">
        <v>4.2</v>
      </c>
      <c r="M217" s="4" t="n">
        <v>804975.5</v>
      </c>
      <c r="N217" s="4" t="n">
        <v>140054.5</v>
      </c>
    </row>
    <row r="218" customFormat="false" ht="15" hidden="false" customHeight="false" outlineLevel="0" collapsed="false">
      <c r="A218" s="4" t="s">
        <v>80</v>
      </c>
      <c r="B218" s="4" t="s">
        <v>20</v>
      </c>
      <c r="C218" s="4" t="s">
        <v>32</v>
      </c>
      <c r="D218" s="4" t="s">
        <v>18</v>
      </c>
      <c r="E218" s="4" t="n">
        <v>35296.54</v>
      </c>
      <c r="F218" s="4" t="n">
        <v>9644</v>
      </c>
      <c r="G218" s="4" t="n">
        <v>0</v>
      </c>
      <c r="H218" s="4" t="n">
        <v>22</v>
      </c>
      <c r="I218" s="4" t="n">
        <v>88</v>
      </c>
      <c r="J218" s="4" t="n">
        <v>2.81</v>
      </c>
      <c r="K218" s="4" t="n">
        <v>0</v>
      </c>
      <c r="L218" s="4" t="n">
        <v>4.7</v>
      </c>
      <c r="M218" s="4" t="n">
        <v>752321.72</v>
      </c>
      <c r="N218" s="4" t="n">
        <v>137788.51</v>
      </c>
    </row>
    <row r="219" customFormat="false" ht="15" hidden="false" customHeight="false" outlineLevel="0" collapsed="false">
      <c r="A219" s="4" t="s">
        <v>80</v>
      </c>
      <c r="B219" s="4" t="s">
        <v>21</v>
      </c>
      <c r="C219" s="4" t="s">
        <v>32</v>
      </c>
      <c r="D219" s="4" t="s">
        <v>18</v>
      </c>
      <c r="E219" s="4" t="n">
        <v>47391.09</v>
      </c>
      <c r="F219" s="4" t="n">
        <v>11224</v>
      </c>
      <c r="G219" s="4" t="n">
        <v>0.147</v>
      </c>
      <c r="H219" s="4" t="n">
        <v>25</v>
      </c>
      <c r="I219" s="4" t="n">
        <v>88.4</v>
      </c>
      <c r="J219" s="4" t="n">
        <v>2.44</v>
      </c>
      <c r="K219" s="4" t="n">
        <v>0</v>
      </c>
      <c r="L219" s="4" t="n">
        <v>4.9</v>
      </c>
      <c r="M219" s="4" t="n">
        <v>836908.24</v>
      </c>
      <c r="N219" s="4" t="n">
        <v>141090.26</v>
      </c>
    </row>
    <row r="220" customFormat="false" ht="15" hidden="false" customHeight="false" outlineLevel="0" collapsed="false">
      <c r="A220" s="4" t="s">
        <v>81</v>
      </c>
      <c r="B220" s="4" t="s">
        <v>16</v>
      </c>
      <c r="C220" s="4" t="s">
        <v>25</v>
      </c>
      <c r="D220" s="4" t="s">
        <v>26</v>
      </c>
      <c r="E220" s="4" t="n">
        <v>69180.54</v>
      </c>
      <c r="F220" s="4" t="n">
        <v>5394</v>
      </c>
      <c r="G220" s="4" t="n">
        <v>0.126</v>
      </c>
      <c r="H220" s="4" t="n">
        <v>12</v>
      </c>
      <c r="I220" s="4" t="n">
        <v>82.9</v>
      </c>
      <c r="J220" s="4" t="n">
        <v>3.27</v>
      </c>
      <c r="K220" s="4" t="n">
        <v>0</v>
      </c>
      <c r="L220" s="4" t="n">
        <v>3.3</v>
      </c>
      <c r="M220" s="4" t="n">
        <v>674289.1</v>
      </c>
      <c r="N220" s="4" t="n">
        <v>117773.79</v>
      </c>
    </row>
    <row r="221" customFormat="false" ht="15" hidden="false" customHeight="false" outlineLevel="0" collapsed="false">
      <c r="A221" s="4" t="s">
        <v>81</v>
      </c>
      <c r="B221" s="4" t="s">
        <v>19</v>
      </c>
      <c r="C221" s="4" t="s">
        <v>25</v>
      </c>
      <c r="D221" s="4" t="s">
        <v>26</v>
      </c>
      <c r="E221" s="4" t="n">
        <v>33987.33</v>
      </c>
      <c r="F221" s="4" t="n">
        <v>5014</v>
      </c>
      <c r="G221" s="4" t="n">
        <v>0.246</v>
      </c>
      <c r="H221" s="4" t="n">
        <v>17</v>
      </c>
      <c r="I221" s="4" t="n">
        <v>94.3</v>
      </c>
      <c r="J221" s="4" t="n">
        <v>10.34</v>
      </c>
      <c r="K221" s="4" t="n">
        <v>0</v>
      </c>
      <c r="L221" s="4" t="n">
        <v>3.9</v>
      </c>
      <c r="M221" s="4" t="n">
        <v>622892.42</v>
      </c>
      <c r="N221" s="4" t="n">
        <v>101032.52</v>
      </c>
    </row>
    <row r="222" customFormat="false" ht="15" hidden="false" customHeight="false" outlineLevel="0" collapsed="false">
      <c r="A222" s="4" t="s">
        <v>81</v>
      </c>
      <c r="B222" s="4" t="s">
        <v>20</v>
      </c>
      <c r="C222" s="4" t="s">
        <v>25</v>
      </c>
      <c r="D222" s="4" t="s">
        <v>26</v>
      </c>
      <c r="E222" s="4" t="n">
        <v>58785.33</v>
      </c>
      <c r="F222" s="4" t="n">
        <v>4467</v>
      </c>
      <c r="G222" s="4" t="n">
        <v>0.229</v>
      </c>
      <c r="H222" s="4" t="n">
        <v>14</v>
      </c>
      <c r="I222" s="4" t="n">
        <v>90.7</v>
      </c>
      <c r="J222" s="4" t="n">
        <v>1.92</v>
      </c>
      <c r="K222" s="4" t="n">
        <v>0</v>
      </c>
      <c r="L222" s="4" t="n">
        <v>3.7</v>
      </c>
      <c r="M222" s="4" t="n">
        <v>673348.56</v>
      </c>
      <c r="N222" s="4" t="n">
        <v>69464.59</v>
      </c>
    </row>
    <row r="223" customFormat="false" ht="15" hidden="false" customHeight="false" outlineLevel="0" collapsed="false">
      <c r="A223" s="4" t="s">
        <v>81</v>
      </c>
      <c r="B223" s="4" t="s">
        <v>21</v>
      </c>
      <c r="C223" s="4" t="s">
        <v>25</v>
      </c>
      <c r="D223" s="4" t="s">
        <v>26</v>
      </c>
      <c r="E223" s="4" t="n">
        <v>16451.85</v>
      </c>
      <c r="F223" s="4" t="n">
        <v>4678</v>
      </c>
      <c r="G223" s="4" t="n">
        <v>0.133</v>
      </c>
      <c r="H223" s="4" t="n">
        <v>11</v>
      </c>
      <c r="I223" s="4" t="n">
        <v>95.9</v>
      </c>
      <c r="J223" s="4" t="n">
        <v>3.1</v>
      </c>
      <c r="K223" s="4" t="n">
        <v>0</v>
      </c>
      <c r="L223" s="4" t="n">
        <v>3.9</v>
      </c>
      <c r="M223" s="4" t="n">
        <v>606278.3</v>
      </c>
      <c r="N223" s="4" t="n">
        <v>102213.26</v>
      </c>
    </row>
    <row r="224" customFormat="false" ht="15" hidden="false" customHeight="false" outlineLevel="0" collapsed="false">
      <c r="A224" s="4" t="s">
        <v>82</v>
      </c>
      <c r="B224" s="4" t="s">
        <v>16</v>
      </c>
      <c r="C224" s="4" t="s">
        <v>17</v>
      </c>
      <c r="D224" s="4" t="s">
        <v>23</v>
      </c>
      <c r="E224" s="4" t="n">
        <v>53367.73</v>
      </c>
      <c r="F224" s="4" t="n">
        <v>7291</v>
      </c>
      <c r="G224" s="4" t="n">
        <v>0.146</v>
      </c>
      <c r="H224" s="4" t="n">
        <v>18</v>
      </c>
      <c r="I224" s="4" t="n">
        <v>90.6</v>
      </c>
      <c r="J224" s="4" t="n">
        <v>6.34</v>
      </c>
      <c r="K224" s="4" t="n">
        <v>1</v>
      </c>
      <c r="L224" s="4" t="n">
        <v>3.8</v>
      </c>
      <c r="M224" s="4" t="n">
        <v>712219.81</v>
      </c>
      <c r="N224" s="4" t="n">
        <v>85906.54</v>
      </c>
    </row>
    <row r="225" customFormat="false" ht="15" hidden="false" customHeight="false" outlineLevel="0" collapsed="false">
      <c r="A225" s="4" t="s">
        <v>82</v>
      </c>
      <c r="B225" s="4" t="s">
        <v>19</v>
      </c>
      <c r="C225" s="4" t="s">
        <v>17</v>
      </c>
      <c r="D225" s="4" t="s">
        <v>23</v>
      </c>
      <c r="E225" s="4" t="n">
        <v>27194.64</v>
      </c>
      <c r="F225" s="4" t="n">
        <v>7404</v>
      </c>
      <c r="G225" s="4" t="n">
        <v>0.088</v>
      </c>
      <c r="H225" s="4" t="n">
        <v>18</v>
      </c>
      <c r="I225" s="4" t="n">
        <v>90.2</v>
      </c>
      <c r="J225" s="4" t="n">
        <v>1.2</v>
      </c>
      <c r="K225" s="4" t="n">
        <v>0</v>
      </c>
      <c r="L225" s="4" t="n">
        <v>3.4</v>
      </c>
      <c r="M225" s="4" t="n">
        <v>672670.54</v>
      </c>
      <c r="N225" s="4" t="n">
        <v>132684.18</v>
      </c>
    </row>
    <row r="226" customFormat="false" ht="15" hidden="false" customHeight="false" outlineLevel="0" collapsed="false">
      <c r="A226" s="4" t="s">
        <v>82</v>
      </c>
      <c r="B226" s="4" t="s">
        <v>20</v>
      </c>
      <c r="C226" s="4" t="s">
        <v>17</v>
      </c>
      <c r="D226" s="4" t="s">
        <v>23</v>
      </c>
      <c r="E226" s="4" t="n">
        <v>66962.74</v>
      </c>
      <c r="F226" s="4" t="n">
        <v>7880</v>
      </c>
      <c r="G226" s="4" t="n">
        <v>0.116</v>
      </c>
      <c r="H226" s="4" t="n">
        <v>19</v>
      </c>
      <c r="I226" s="4" t="n">
        <v>90.4</v>
      </c>
      <c r="J226" s="4" t="n">
        <v>4.5</v>
      </c>
      <c r="K226" s="4" t="n">
        <v>0</v>
      </c>
      <c r="L226" s="4" t="n">
        <v>3.3</v>
      </c>
      <c r="M226" s="4" t="n">
        <v>732667.92</v>
      </c>
      <c r="N226" s="4" t="n">
        <v>128654.46</v>
      </c>
    </row>
    <row r="227" customFormat="false" ht="15" hidden="false" customHeight="false" outlineLevel="0" collapsed="false">
      <c r="A227" s="4" t="s">
        <v>82</v>
      </c>
      <c r="B227" s="4" t="s">
        <v>21</v>
      </c>
      <c r="C227" s="4" t="s">
        <v>17</v>
      </c>
      <c r="D227" s="4" t="s">
        <v>23</v>
      </c>
      <c r="E227" s="4" t="n">
        <v>73540.99</v>
      </c>
      <c r="F227" s="4" t="n">
        <v>8773</v>
      </c>
      <c r="G227" s="4" t="n">
        <v>0.035</v>
      </c>
      <c r="H227" s="4" t="n">
        <v>21</v>
      </c>
      <c r="I227" s="4" t="n">
        <v>84.4</v>
      </c>
      <c r="J227" s="4" t="n">
        <v>6.68</v>
      </c>
      <c r="K227" s="4" t="n">
        <v>0</v>
      </c>
      <c r="L227" s="4" t="n">
        <v>3.6</v>
      </c>
      <c r="M227" s="4" t="n">
        <v>723531.4</v>
      </c>
      <c r="N227" s="4" t="n">
        <v>108794.85</v>
      </c>
    </row>
    <row r="228" customFormat="false" ht="15" hidden="false" customHeight="false" outlineLevel="0" collapsed="false">
      <c r="A228" s="4" t="s">
        <v>83</v>
      </c>
      <c r="B228" s="4" t="s">
        <v>16</v>
      </c>
      <c r="C228" s="4" t="s">
        <v>17</v>
      </c>
      <c r="D228" s="4" t="s">
        <v>33</v>
      </c>
      <c r="E228" s="4" t="n">
        <v>68212.29</v>
      </c>
      <c r="F228" s="4" t="n">
        <v>4713</v>
      </c>
      <c r="G228" s="4" t="n">
        <v>0.198</v>
      </c>
      <c r="H228" s="4" t="n">
        <v>15</v>
      </c>
      <c r="I228" s="4" t="n">
        <v>82.6</v>
      </c>
      <c r="J228" s="4" t="n">
        <v>4.07</v>
      </c>
      <c r="K228" s="4" t="n">
        <v>1</v>
      </c>
      <c r="L228" s="4" t="n">
        <v>3</v>
      </c>
      <c r="M228" s="4" t="n">
        <v>641564.6</v>
      </c>
      <c r="N228" s="4" t="n">
        <v>90468.96</v>
      </c>
    </row>
    <row r="229" customFormat="false" ht="15" hidden="false" customHeight="false" outlineLevel="0" collapsed="false">
      <c r="A229" s="4" t="s">
        <v>83</v>
      </c>
      <c r="B229" s="4" t="s">
        <v>19</v>
      </c>
      <c r="C229" s="4" t="s">
        <v>17</v>
      </c>
      <c r="D229" s="4" t="s">
        <v>33</v>
      </c>
      <c r="E229" s="4" t="n">
        <v>57225.98</v>
      </c>
      <c r="F229" s="4" t="n">
        <v>2842</v>
      </c>
      <c r="G229" s="4" t="n">
        <v>0.112</v>
      </c>
      <c r="H229" s="4" t="n">
        <v>10</v>
      </c>
      <c r="I229" s="4" t="n">
        <v>79.5</v>
      </c>
      <c r="J229" s="4" t="n">
        <v>5.45</v>
      </c>
      <c r="K229" s="4" t="n">
        <v>0</v>
      </c>
      <c r="L229" s="4" t="n">
        <v>3.4</v>
      </c>
      <c r="M229" s="4" t="n">
        <v>536545.49</v>
      </c>
      <c r="N229" s="4" t="n">
        <v>97917.45</v>
      </c>
    </row>
    <row r="230" customFormat="false" ht="15" hidden="false" customHeight="false" outlineLevel="0" collapsed="false">
      <c r="A230" s="4" t="s">
        <v>83</v>
      </c>
      <c r="B230" s="4" t="s">
        <v>20</v>
      </c>
      <c r="C230" s="4" t="s">
        <v>17</v>
      </c>
      <c r="D230" s="4" t="s">
        <v>33</v>
      </c>
      <c r="E230" s="4" t="n">
        <v>42932.02</v>
      </c>
      <c r="F230" s="4" t="n">
        <v>3872</v>
      </c>
      <c r="G230" s="4" t="n">
        <v>0.171</v>
      </c>
      <c r="H230" s="4" t="n">
        <v>12</v>
      </c>
      <c r="I230" s="4" t="n">
        <v>83.2</v>
      </c>
      <c r="J230" s="4" t="n">
        <v>15.58</v>
      </c>
      <c r="K230" s="4" t="n">
        <v>0</v>
      </c>
      <c r="L230" s="4" t="n">
        <v>3.3</v>
      </c>
      <c r="M230" s="4" t="n">
        <v>527681.56</v>
      </c>
      <c r="N230" s="4" t="n">
        <v>63153.05</v>
      </c>
    </row>
    <row r="231" customFormat="false" ht="15" hidden="false" customHeight="false" outlineLevel="0" collapsed="false">
      <c r="A231" s="4" t="s">
        <v>83</v>
      </c>
      <c r="B231" s="4" t="s">
        <v>21</v>
      </c>
      <c r="C231" s="4" t="s">
        <v>17</v>
      </c>
      <c r="D231" s="4" t="s">
        <v>33</v>
      </c>
      <c r="E231" s="4" t="n">
        <v>39341.45</v>
      </c>
      <c r="F231" s="4" t="n">
        <v>1375</v>
      </c>
      <c r="G231" s="4" t="n">
        <v>0.093</v>
      </c>
      <c r="H231" s="4" t="n">
        <v>5</v>
      </c>
      <c r="I231" s="4" t="n">
        <v>95</v>
      </c>
      <c r="J231" s="4" t="n">
        <v>5.32</v>
      </c>
      <c r="K231" s="4" t="n">
        <v>0</v>
      </c>
      <c r="L231" s="4"/>
      <c r="M231" s="4" t="n">
        <v>529598.94</v>
      </c>
      <c r="N231" s="4" t="n">
        <v>84334.33</v>
      </c>
    </row>
    <row r="232" customFormat="false" ht="15" hidden="false" customHeight="false" outlineLevel="0" collapsed="false">
      <c r="A232" s="4" t="s">
        <v>84</v>
      </c>
      <c r="B232" s="4" t="s">
        <v>16</v>
      </c>
      <c r="C232" s="4" t="s">
        <v>17</v>
      </c>
      <c r="D232" s="4" t="s">
        <v>23</v>
      </c>
      <c r="E232" s="4" t="n">
        <v>37324.23</v>
      </c>
      <c r="F232" s="4" t="n">
        <v>5957</v>
      </c>
      <c r="G232" s="4" t="n">
        <v>0.071</v>
      </c>
      <c r="H232" s="4" t="n">
        <v>12</v>
      </c>
      <c r="I232" s="4" t="n">
        <v>85.9</v>
      </c>
      <c r="J232" s="4" t="n">
        <v>0.37</v>
      </c>
      <c r="K232" s="4" t="n">
        <v>0</v>
      </c>
      <c r="L232" s="4" t="n">
        <v>3.8</v>
      </c>
      <c r="M232" s="4" t="n">
        <v>570963.31</v>
      </c>
      <c r="N232" s="4" t="n">
        <v>87342.25</v>
      </c>
    </row>
    <row r="233" customFormat="false" ht="15" hidden="false" customHeight="false" outlineLevel="0" collapsed="false">
      <c r="A233" s="4" t="s">
        <v>84</v>
      </c>
      <c r="B233" s="4" t="s">
        <v>19</v>
      </c>
      <c r="C233" s="4" t="s">
        <v>17</v>
      </c>
      <c r="D233" s="4" t="s">
        <v>23</v>
      </c>
      <c r="E233" s="4" t="n">
        <v>113736</v>
      </c>
      <c r="F233" s="4" t="n">
        <v>8961</v>
      </c>
      <c r="G233" s="4" t="n">
        <v>0.202</v>
      </c>
      <c r="H233" s="4" t="n">
        <v>24</v>
      </c>
      <c r="I233" s="4" t="n">
        <v>86.2</v>
      </c>
      <c r="J233" s="4" t="n">
        <v>21.63</v>
      </c>
      <c r="K233" s="4" t="n">
        <v>0</v>
      </c>
      <c r="L233" s="4" t="n">
        <v>4</v>
      </c>
      <c r="M233" s="4" t="n">
        <v>870937.4</v>
      </c>
      <c r="N233" s="4" t="n">
        <v>175282.74</v>
      </c>
    </row>
    <row r="234" customFormat="false" ht="15" hidden="false" customHeight="false" outlineLevel="0" collapsed="false">
      <c r="A234" s="4" t="s">
        <v>84</v>
      </c>
      <c r="B234" s="4" t="s">
        <v>20</v>
      </c>
      <c r="C234" s="4" t="s">
        <v>17</v>
      </c>
      <c r="D234" s="4" t="s">
        <v>23</v>
      </c>
      <c r="E234" s="4" t="n">
        <v>33173.95</v>
      </c>
      <c r="F234" s="4" t="n">
        <v>6545</v>
      </c>
      <c r="G234" s="4" t="n">
        <v>0.169</v>
      </c>
      <c r="H234" s="4" t="n">
        <v>15</v>
      </c>
      <c r="I234" s="4" t="n">
        <v>84.4</v>
      </c>
      <c r="J234" s="4" t="n">
        <v>2.48</v>
      </c>
      <c r="K234" s="4" t="n">
        <v>0</v>
      </c>
      <c r="L234" s="4" t="n">
        <v>3.9</v>
      </c>
      <c r="M234" s="4" t="n">
        <v>596969.27</v>
      </c>
      <c r="N234" s="4" t="n">
        <v>105669.51</v>
      </c>
    </row>
    <row r="235" customFormat="false" ht="15" hidden="false" customHeight="false" outlineLevel="0" collapsed="false">
      <c r="A235" s="4" t="s">
        <v>84</v>
      </c>
      <c r="B235" s="4" t="s">
        <v>21</v>
      </c>
      <c r="C235" s="4" t="s">
        <v>17</v>
      </c>
      <c r="D235" s="4" t="s">
        <v>23</v>
      </c>
      <c r="E235" s="4" t="n">
        <v>25818.08</v>
      </c>
      <c r="F235" s="4" t="n">
        <v>5457</v>
      </c>
      <c r="G235" s="4" t="n">
        <v>0</v>
      </c>
      <c r="H235" s="4" t="n">
        <v>11</v>
      </c>
      <c r="I235" s="4" t="n">
        <v>95.4</v>
      </c>
      <c r="J235" s="4"/>
      <c r="K235" s="4" t="n">
        <v>0</v>
      </c>
      <c r="L235" s="4" t="n">
        <v>3.7</v>
      </c>
      <c r="M235" s="4" t="n">
        <v>647512.85</v>
      </c>
      <c r="N235" s="4" t="n">
        <v>153835.57</v>
      </c>
    </row>
    <row r="236" customFormat="false" ht="15" hidden="false" customHeight="false" outlineLevel="0" collapsed="false">
      <c r="A236" s="4" t="s">
        <v>85</v>
      </c>
      <c r="B236" s="4" t="s">
        <v>16</v>
      </c>
      <c r="C236" s="4" t="s">
        <v>32</v>
      </c>
      <c r="D236" s="4" t="s">
        <v>18</v>
      </c>
      <c r="E236" s="4" t="n">
        <v>47241.92</v>
      </c>
      <c r="F236" s="4" t="n">
        <v>4264</v>
      </c>
      <c r="G236" s="4" t="n">
        <v>0.069</v>
      </c>
      <c r="H236" s="4" t="n">
        <v>13</v>
      </c>
      <c r="I236" s="4" t="n">
        <v>95.3</v>
      </c>
      <c r="J236" s="4" t="n">
        <v>0.85</v>
      </c>
      <c r="K236" s="4" t="n">
        <v>0</v>
      </c>
      <c r="L236" s="4" t="n">
        <v>4.3</v>
      </c>
      <c r="M236" s="4" t="n">
        <v>658072.14</v>
      </c>
      <c r="N236" s="4" t="n">
        <v>110595.89</v>
      </c>
    </row>
    <row r="237" customFormat="false" ht="15" hidden="false" customHeight="false" outlineLevel="0" collapsed="false">
      <c r="A237" s="4" t="s">
        <v>85</v>
      </c>
      <c r="B237" s="4" t="s">
        <v>19</v>
      </c>
      <c r="C237" s="4" t="s">
        <v>32</v>
      </c>
      <c r="D237" s="4" t="s">
        <v>18</v>
      </c>
      <c r="E237" s="4" t="n">
        <v>61650.79</v>
      </c>
      <c r="F237" s="4" t="n">
        <v>5321</v>
      </c>
      <c r="G237" s="4" t="n">
        <v>0.126</v>
      </c>
      <c r="H237" s="4" t="n">
        <v>17</v>
      </c>
      <c r="I237" s="4" t="n">
        <v>89.2</v>
      </c>
      <c r="J237" s="4" t="n">
        <v>2.13</v>
      </c>
      <c r="K237" s="4" t="n">
        <v>0</v>
      </c>
      <c r="L237" s="4" t="n">
        <v>4</v>
      </c>
      <c r="M237" s="4" t="n">
        <v>723305.11</v>
      </c>
      <c r="N237" s="4" t="n">
        <v>128468.7</v>
      </c>
    </row>
    <row r="238" customFormat="false" ht="15" hidden="false" customHeight="false" outlineLevel="0" collapsed="false">
      <c r="A238" s="4" t="s">
        <v>85</v>
      </c>
      <c r="B238" s="4" t="s">
        <v>20</v>
      </c>
      <c r="C238" s="4" t="s">
        <v>32</v>
      </c>
      <c r="D238" s="4" t="s">
        <v>18</v>
      </c>
      <c r="E238" s="4" t="n">
        <v>62582.71</v>
      </c>
      <c r="F238" s="4" t="n">
        <v>5479</v>
      </c>
      <c r="G238" s="4" t="n">
        <v>0.048</v>
      </c>
      <c r="H238" s="4" t="n">
        <v>16</v>
      </c>
      <c r="I238" s="4" t="n">
        <v>81.2</v>
      </c>
      <c r="J238" s="4" t="n">
        <v>1.46</v>
      </c>
      <c r="K238" s="4" t="n">
        <v>0</v>
      </c>
      <c r="L238" s="4" t="n">
        <v>4.5</v>
      </c>
      <c r="M238" s="4" t="n">
        <v>640666.53</v>
      </c>
      <c r="N238" s="4" t="n">
        <v>134919.16</v>
      </c>
    </row>
    <row r="239" customFormat="false" ht="15" hidden="false" customHeight="false" outlineLevel="0" collapsed="false">
      <c r="A239" s="4" t="s">
        <v>85</v>
      </c>
      <c r="B239" s="4" t="s">
        <v>21</v>
      </c>
      <c r="C239" s="4" t="s">
        <v>32</v>
      </c>
      <c r="D239" s="4" t="s">
        <v>18</v>
      </c>
      <c r="E239" s="4" t="n">
        <v>47944.14</v>
      </c>
      <c r="F239" s="4" t="n">
        <v>6169</v>
      </c>
      <c r="G239" s="4" t="n">
        <v>0.119</v>
      </c>
      <c r="H239" s="4" t="n">
        <v>17</v>
      </c>
      <c r="I239" s="4" t="n">
        <v>92.2</v>
      </c>
      <c r="J239" s="4" t="n">
        <v>3.02</v>
      </c>
      <c r="K239" s="4" t="n">
        <v>0</v>
      </c>
      <c r="L239" s="4" t="n">
        <v>4.1</v>
      </c>
      <c r="M239" s="4" t="n">
        <v>670629.48</v>
      </c>
      <c r="N239" s="4" t="n">
        <v>100140.8</v>
      </c>
    </row>
    <row r="240" customFormat="false" ht="15" hidden="false" customHeight="false" outlineLevel="0" collapsed="false">
      <c r="A240" s="4" t="s">
        <v>86</v>
      </c>
      <c r="B240" s="4" t="s">
        <v>16</v>
      </c>
      <c r="C240" s="4" t="s">
        <v>32</v>
      </c>
      <c r="D240" s="4" t="s">
        <v>33</v>
      </c>
      <c r="E240" s="4" t="n">
        <v>46495.4</v>
      </c>
      <c r="F240" s="4" t="n">
        <v>9908</v>
      </c>
      <c r="G240" s="4" t="n">
        <v>0.121</v>
      </c>
      <c r="H240" s="4" t="n">
        <v>22</v>
      </c>
      <c r="I240" s="4" t="n">
        <v>89.4</v>
      </c>
      <c r="J240" s="4" t="n">
        <v>3.22</v>
      </c>
      <c r="K240" s="4" t="n">
        <v>0</v>
      </c>
      <c r="L240" s="4" t="n">
        <v>3.7</v>
      </c>
      <c r="M240" s="4" t="n">
        <v>721079.35</v>
      </c>
      <c r="N240" s="4" t="n">
        <v>115295.05</v>
      </c>
    </row>
    <row r="241" customFormat="false" ht="15" hidden="false" customHeight="false" outlineLevel="0" collapsed="false">
      <c r="A241" s="4" t="s">
        <v>86</v>
      </c>
      <c r="B241" s="4" t="s">
        <v>19</v>
      </c>
      <c r="C241" s="4" t="s">
        <v>32</v>
      </c>
      <c r="D241" s="4" t="s">
        <v>33</v>
      </c>
      <c r="E241" s="4" t="n">
        <v>72961.95</v>
      </c>
      <c r="F241" s="4" t="n">
        <v>9996</v>
      </c>
      <c r="G241" s="4" t="n">
        <v>0.106</v>
      </c>
      <c r="H241" s="4" t="n">
        <v>22</v>
      </c>
      <c r="I241" s="4" t="n">
        <v>89.1</v>
      </c>
      <c r="J241" s="4" t="n">
        <v>15.66</v>
      </c>
      <c r="K241" s="4" t="n">
        <v>0</v>
      </c>
      <c r="L241" s="4" t="n">
        <v>3.4</v>
      </c>
      <c r="M241" s="4" t="n">
        <v>810355.02</v>
      </c>
      <c r="N241" s="4" t="n">
        <v>131510</v>
      </c>
    </row>
    <row r="242" customFormat="false" ht="15" hidden="false" customHeight="false" outlineLevel="0" collapsed="false">
      <c r="A242" s="4" t="s">
        <v>86</v>
      </c>
      <c r="B242" s="4" t="s">
        <v>20</v>
      </c>
      <c r="C242" s="4" t="s">
        <v>32</v>
      </c>
      <c r="D242" s="4" t="s">
        <v>33</v>
      </c>
      <c r="E242" s="4" t="n">
        <v>59060.05</v>
      </c>
      <c r="F242" s="4" t="n">
        <v>9702</v>
      </c>
      <c r="G242" s="4" t="n">
        <v>0.201</v>
      </c>
      <c r="H242" s="4" t="n">
        <v>23</v>
      </c>
      <c r="I242" s="4" t="n">
        <v>80.9</v>
      </c>
      <c r="J242" s="4" t="n">
        <v>6.96</v>
      </c>
      <c r="K242" s="4" t="n">
        <v>0</v>
      </c>
      <c r="L242" s="4" t="n">
        <v>3.2</v>
      </c>
      <c r="M242" s="4" t="n">
        <v>761919.25</v>
      </c>
      <c r="N242" s="4" t="n">
        <v>111893.06</v>
      </c>
    </row>
    <row r="243" customFormat="false" ht="15" hidden="false" customHeight="false" outlineLevel="0" collapsed="false">
      <c r="A243" s="4" t="s">
        <v>86</v>
      </c>
      <c r="B243" s="4" t="s">
        <v>21</v>
      </c>
      <c r="C243" s="4" t="s">
        <v>32</v>
      </c>
      <c r="D243" s="4" t="s">
        <v>33</v>
      </c>
      <c r="E243" s="4" t="n">
        <v>26248.1</v>
      </c>
      <c r="F243" s="4" t="n">
        <v>9314</v>
      </c>
      <c r="G243" s="4" t="n">
        <v>0.186</v>
      </c>
      <c r="H243" s="4" t="n">
        <v>21</v>
      </c>
      <c r="I243" s="4" t="n">
        <v>83.7</v>
      </c>
      <c r="J243" s="4" t="n">
        <v>4.62</v>
      </c>
      <c r="K243" s="4" t="n">
        <v>0</v>
      </c>
      <c r="L243" s="4" t="n">
        <v>3.3</v>
      </c>
      <c r="M243" s="4" t="n">
        <v>737070.18</v>
      </c>
      <c r="N243" s="4" t="n">
        <v>117593.97</v>
      </c>
    </row>
    <row r="244" customFormat="false" ht="15" hidden="false" customHeight="false" outlineLevel="0" collapsed="false">
      <c r="A244" s="4" t="s">
        <v>87</v>
      </c>
      <c r="B244" s="4" t="s">
        <v>16</v>
      </c>
      <c r="C244" s="4" t="s">
        <v>29</v>
      </c>
      <c r="D244" s="4" t="s">
        <v>26</v>
      </c>
      <c r="E244" s="4" t="n">
        <v>69900.12</v>
      </c>
      <c r="F244" s="4" t="n">
        <v>8055</v>
      </c>
      <c r="G244" s="4" t="n">
        <v>0.281</v>
      </c>
      <c r="H244" s="4" t="n">
        <v>22</v>
      </c>
      <c r="I244" s="4" t="n">
        <v>85.6</v>
      </c>
      <c r="J244" s="4" t="n">
        <v>10.68</v>
      </c>
      <c r="K244" s="4" t="n">
        <v>1</v>
      </c>
      <c r="L244" s="4" t="n">
        <v>2.9</v>
      </c>
      <c r="M244" s="4" t="n">
        <v>776992.93</v>
      </c>
      <c r="N244" s="4" t="n">
        <v>101598.32</v>
      </c>
    </row>
    <row r="245" customFormat="false" ht="15" hidden="false" customHeight="false" outlineLevel="0" collapsed="false">
      <c r="A245" s="4" t="s">
        <v>87</v>
      </c>
      <c r="B245" s="4" t="s">
        <v>19</v>
      </c>
      <c r="C245" s="4" t="s">
        <v>29</v>
      </c>
      <c r="D245" s="4" t="s">
        <v>26</v>
      </c>
      <c r="E245" s="4" t="n">
        <v>51781.6</v>
      </c>
      <c r="F245" s="4" t="n">
        <v>5648</v>
      </c>
      <c r="G245" s="4" t="n">
        <v>0.059</v>
      </c>
      <c r="H245" s="4" t="n">
        <v>13</v>
      </c>
      <c r="I245" s="4" t="n">
        <v>85.5</v>
      </c>
      <c r="J245" s="4" t="n">
        <v>4.04</v>
      </c>
      <c r="K245" s="4" t="n">
        <v>0</v>
      </c>
      <c r="L245" s="4" t="n">
        <v>3.7</v>
      </c>
      <c r="M245" s="4" t="n">
        <v>676337.41</v>
      </c>
      <c r="N245" s="4" t="n">
        <v>104355.77</v>
      </c>
    </row>
    <row r="246" customFormat="false" ht="15" hidden="false" customHeight="false" outlineLevel="0" collapsed="false">
      <c r="A246" s="4" t="s">
        <v>87</v>
      </c>
      <c r="B246" s="4" t="s">
        <v>20</v>
      </c>
      <c r="C246" s="4" t="s">
        <v>29</v>
      </c>
      <c r="D246" s="4" t="s">
        <v>26</v>
      </c>
      <c r="E246" s="4" t="n">
        <v>70799.64</v>
      </c>
      <c r="F246" s="4" t="n">
        <v>10076</v>
      </c>
      <c r="G246" s="4" t="n">
        <v>0.152</v>
      </c>
      <c r="H246" s="4" t="n">
        <v>24</v>
      </c>
      <c r="I246" s="4" t="n">
        <v>84.8</v>
      </c>
      <c r="J246" s="4" t="n">
        <v>1.87</v>
      </c>
      <c r="K246" s="4" t="n">
        <v>0</v>
      </c>
      <c r="L246" s="4" t="n">
        <v>3.5</v>
      </c>
      <c r="M246" s="4" t="n">
        <v>828219.67</v>
      </c>
      <c r="N246" s="4" t="n">
        <v>179806.87</v>
      </c>
    </row>
    <row r="247" customFormat="false" ht="15" hidden="false" customHeight="false" outlineLevel="0" collapsed="false">
      <c r="A247" s="4" t="s">
        <v>87</v>
      </c>
      <c r="B247" s="4" t="s">
        <v>21</v>
      </c>
      <c r="C247" s="4" t="s">
        <v>29</v>
      </c>
      <c r="D247" s="4" t="s">
        <v>26</v>
      </c>
      <c r="E247" s="4" t="n">
        <v>53546.34</v>
      </c>
      <c r="F247" s="4" t="n">
        <v>8004</v>
      </c>
      <c r="G247" s="4" t="n">
        <v>0</v>
      </c>
      <c r="H247" s="4" t="n">
        <v>21</v>
      </c>
      <c r="I247" s="4" t="n">
        <v>95.2</v>
      </c>
      <c r="J247" s="4" t="n">
        <v>2.83</v>
      </c>
      <c r="K247" s="4" t="n">
        <v>0</v>
      </c>
      <c r="L247" s="4" t="n">
        <v>3</v>
      </c>
      <c r="M247" s="4" t="n">
        <v>763159.92</v>
      </c>
      <c r="N247" s="4" t="n">
        <v>177104.87</v>
      </c>
    </row>
    <row r="248" customFormat="false" ht="15" hidden="false" customHeight="false" outlineLevel="0" collapsed="false">
      <c r="A248" s="4" t="s">
        <v>88</v>
      </c>
      <c r="B248" s="4" t="s">
        <v>16</v>
      </c>
      <c r="C248" s="4" t="s">
        <v>17</v>
      </c>
      <c r="D248" s="4" t="s">
        <v>23</v>
      </c>
      <c r="E248" s="4" t="n">
        <v>76942.2</v>
      </c>
      <c r="F248" s="4" t="n">
        <v>8934</v>
      </c>
      <c r="G248" s="4" t="n">
        <v>0.084</v>
      </c>
      <c r="H248" s="4" t="n">
        <v>20</v>
      </c>
      <c r="I248" s="4" t="n">
        <v>91</v>
      </c>
      <c r="J248" s="4" t="n">
        <v>0.95</v>
      </c>
      <c r="K248" s="4" t="n">
        <v>0</v>
      </c>
      <c r="L248" s="4" t="n">
        <v>3.2</v>
      </c>
      <c r="M248" s="4" t="n">
        <v>802001.68</v>
      </c>
      <c r="N248" s="4" t="n">
        <v>159715.82</v>
      </c>
    </row>
    <row r="249" customFormat="false" ht="15" hidden="false" customHeight="false" outlineLevel="0" collapsed="false">
      <c r="A249" s="4" t="s">
        <v>88</v>
      </c>
      <c r="B249" s="4" t="s">
        <v>19</v>
      </c>
      <c r="C249" s="4" t="s">
        <v>17</v>
      </c>
      <c r="D249" s="4" t="s">
        <v>23</v>
      </c>
      <c r="E249" s="4" t="n">
        <v>48060.78</v>
      </c>
      <c r="F249" s="4" t="n">
        <v>8733</v>
      </c>
      <c r="G249" s="4" t="n">
        <v>0</v>
      </c>
      <c r="H249" s="4" t="n">
        <v>20</v>
      </c>
      <c r="I249" s="4" t="n">
        <v>89.9</v>
      </c>
      <c r="J249" s="4" t="n">
        <v>0.8</v>
      </c>
      <c r="K249" s="4" t="n">
        <v>0</v>
      </c>
      <c r="L249" s="4" t="n">
        <v>3.4</v>
      </c>
      <c r="M249" s="4" t="n">
        <v>750471.34</v>
      </c>
      <c r="N249" s="4" t="n">
        <v>133788.04</v>
      </c>
    </row>
    <row r="250" customFormat="false" ht="15" hidden="false" customHeight="false" outlineLevel="0" collapsed="false">
      <c r="A250" s="4" t="s">
        <v>88</v>
      </c>
      <c r="B250" s="4" t="s">
        <v>20</v>
      </c>
      <c r="C250" s="4" t="s">
        <v>17</v>
      </c>
      <c r="D250" s="4" t="s">
        <v>23</v>
      </c>
      <c r="E250" s="4" t="n">
        <v>57390.04</v>
      </c>
      <c r="F250" s="4" t="n">
        <v>7374</v>
      </c>
      <c r="G250" s="4" t="n">
        <v>0.21</v>
      </c>
      <c r="H250" s="4" t="n">
        <v>21</v>
      </c>
      <c r="I250" s="4" t="n">
        <v>91.8</v>
      </c>
      <c r="J250" s="4" t="n">
        <v>0.2</v>
      </c>
      <c r="K250" s="4" t="n">
        <v>0</v>
      </c>
      <c r="L250" s="4" t="n">
        <v>3.1</v>
      </c>
      <c r="M250" s="4" t="n">
        <v>679230.86</v>
      </c>
      <c r="N250" s="4" t="n">
        <v>106927.58</v>
      </c>
    </row>
    <row r="251" customFormat="false" ht="15" hidden="false" customHeight="false" outlineLevel="0" collapsed="false">
      <c r="A251" s="4" t="s">
        <v>88</v>
      </c>
      <c r="B251" s="4" t="s">
        <v>21</v>
      </c>
      <c r="C251" s="4" t="s">
        <v>17</v>
      </c>
      <c r="D251" s="4" t="s">
        <v>23</v>
      </c>
      <c r="E251" s="4" t="n">
        <v>21536.18</v>
      </c>
      <c r="F251" s="4" t="n">
        <v>8119</v>
      </c>
      <c r="G251" s="4" t="n">
        <v>0.227</v>
      </c>
      <c r="H251" s="4" t="n">
        <v>20</v>
      </c>
      <c r="I251" s="4" t="n">
        <v>90.4</v>
      </c>
      <c r="J251" s="4" t="n">
        <v>1.7</v>
      </c>
      <c r="K251" s="4" t="n">
        <v>0</v>
      </c>
      <c r="L251" s="4" t="n">
        <v>3.3</v>
      </c>
      <c r="M251" s="4" t="n">
        <v>679888.74</v>
      </c>
      <c r="N251" s="4" t="n">
        <v>83406.89</v>
      </c>
    </row>
    <row r="252" customFormat="false" ht="15" hidden="false" customHeight="false" outlineLevel="0" collapsed="false">
      <c r="A252" s="4" t="s">
        <v>89</v>
      </c>
      <c r="B252" s="4" t="s">
        <v>16</v>
      </c>
      <c r="C252" s="4" t="s">
        <v>25</v>
      </c>
      <c r="D252" s="4" t="s">
        <v>23</v>
      </c>
      <c r="E252" s="4" t="n">
        <v>40923.67</v>
      </c>
      <c r="F252" s="4" t="n">
        <v>3875</v>
      </c>
      <c r="G252" s="4" t="n">
        <v>0.15</v>
      </c>
      <c r="H252" s="4" t="n">
        <v>10</v>
      </c>
      <c r="I252" s="4" t="n">
        <v>96.1</v>
      </c>
      <c r="J252" s="4"/>
      <c r="K252" s="4" t="n">
        <v>0</v>
      </c>
      <c r="L252" s="4" t="n">
        <v>3.8</v>
      </c>
      <c r="M252" s="4" t="n">
        <v>606783.67</v>
      </c>
      <c r="N252" s="4" t="n">
        <v>74515.87</v>
      </c>
    </row>
    <row r="253" customFormat="false" ht="15" hidden="false" customHeight="false" outlineLevel="0" collapsed="false">
      <c r="A253" s="4" t="s">
        <v>89</v>
      </c>
      <c r="B253" s="4" t="s">
        <v>19</v>
      </c>
      <c r="C253" s="4" t="s">
        <v>25</v>
      </c>
      <c r="D253" s="4" t="s">
        <v>23</v>
      </c>
      <c r="E253" s="4" t="n">
        <v>72932.55</v>
      </c>
      <c r="F253" s="4" t="n">
        <v>5765</v>
      </c>
      <c r="G253" s="4" t="n">
        <v>0.026</v>
      </c>
      <c r="H253" s="4" t="n">
        <v>17</v>
      </c>
      <c r="I253" s="4" t="n">
        <v>81.8</v>
      </c>
      <c r="J253" s="4" t="n">
        <v>5.1</v>
      </c>
      <c r="K253" s="4" t="n">
        <v>0</v>
      </c>
      <c r="L253" s="4" t="n">
        <v>3.6</v>
      </c>
      <c r="M253" s="4" t="n">
        <v>642751.42</v>
      </c>
      <c r="N253" s="4" t="n">
        <v>131942.15</v>
      </c>
    </row>
    <row r="254" customFormat="false" ht="15" hidden="false" customHeight="false" outlineLevel="0" collapsed="false">
      <c r="A254" s="4" t="s">
        <v>89</v>
      </c>
      <c r="B254" s="4" t="s">
        <v>20</v>
      </c>
      <c r="C254" s="4" t="s">
        <v>25</v>
      </c>
      <c r="D254" s="4" t="s">
        <v>23</v>
      </c>
      <c r="E254" s="4" t="n">
        <v>38361.93</v>
      </c>
      <c r="F254" s="4" t="n">
        <v>6322</v>
      </c>
      <c r="G254" s="4" t="n">
        <v>0.273</v>
      </c>
      <c r="H254" s="4" t="n">
        <v>15</v>
      </c>
      <c r="I254" s="4" t="n">
        <v>88.4</v>
      </c>
      <c r="J254" s="4" t="n">
        <v>0.83</v>
      </c>
      <c r="K254" s="4" t="n">
        <v>0</v>
      </c>
      <c r="L254" s="4" t="n">
        <v>4</v>
      </c>
      <c r="M254" s="4" t="n">
        <v>647953.78</v>
      </c>
      <c r="N254" s="4" t="n">
        <v>118497.43</v>
      </c>
    </row>
    <row r="255" customFormat="false" ht="15" hidden="false" customHeight="false" outlineLevel="0" collapsed="false">
      <c r="A255" s="4" t="s">
        <v>89</v>
      </c>
      <c r="B255" s="4" t="s">
        <v>21</v>
      </c>
      <c r="C255" s="4" t="s">
        <v>25</v>
      </c>
      <c r="D255" s="4" t="s">
        <v>23</v>
      </c>
      <c r="E255" s="4" t="n">
        <v>97480.94</v>
      </c>
      <c r="F255" s="4" t="n">
        <v>6840</v>
      </c>
      <c r="G255" s="4" t="n">
        <v>0.087</v>
      </c>
      <c r="H255" s="4" t="n">
        <v>14</v>
      </c>
      <c r="I255" s="4" t="n">
        <v>79.2</v>
      </c>
      <c r="J255" s="4" t="n">
        <v>1.14</v>
      </c>
      <c r="K255" s="4" t="n">
        <v>0</v>
      </c>
      <c r="L255" s="4" t="n">
        <v>4</v>
      </c>
      <c r="M255" s="4" t="n">
        <v>729440.45</v>
      </c>
      <c r="N255" s="4" t="n">
        <v>87614.29</v>
      </c>
    </row>
    <row r="256" customFormat="false" ht="15" hidden="false" customHeight="false" outlineLevel="0" collapsed="false">
      <c r="A256" s="4" t="s">
        <v>90</v>
      </c>
      <c r="B256" s="4" t="s">
        <v>16</v>
      </c>
      <c r="C256" s="4" t="s">
        <v>29</v>
      </c>
      <c r="D256" s="4" t="s">
        <v>26</v>
      </c>
      <c r="E256" s="4" t="n">
        <v>81801.8</v>
      </c>
      <c r="F256" s="4" t="n">
        <v>6782</v>
      </c>
      <c r="G256" s="4" t="n">
        <v>0.05</v>
      </c>
      <c r="H256" s="4" t="n">
        <v>16</v>
      </c>
      <c r="I256" s="4" t="n">
        <v>99</v>
      </c>
      <c r="J256" s="4" t="n">
        <v>9.54</v>
      </c>
      <c r="K256" s="4" t="n">
        <v>0</v>
      </c>
      <c r="L256" s="4" t="n">
        <v>3.7</v>
      </c>
      <c r="M256" s="4" t="n">
        <v>764949</v>
      </c>
      <c r="N256" s="4" t="n">
        <v>148322.43</v>
      </c>
    </row>
    <row r="257" customFormat="false" ht="15" hidden="false" customHeight="false" outlineLevel="0" collapsed="false">
      <c r="A257" s="4" t="s">
        <v>90</v>
      </c>
      <c r="B257" s="4" t="s">
        <v>19</v>
      </c>
      <c r="C257" s="4" t="s">
        <v>29</v>
      </c>
      <c r="D257" s="4" t="s">
        <v>26</v>
      </c>
      <c r="E257" s="4" t="n">
        <v>63582.11</v>
      </c>
      <c r="F257" s="4" t="n">
        <v>6856</v>
      </c>
      <c r="G257" s="4" t="n">
        <v>0.074</v>
      </c>
      <c r="H257" s="4" t="n">
        <v>17</v>
      </c>
      <c r="I257" s="4" t="n">
        <v>89.5</v>
      </c>
      <c r="J257" s="4" t="n">
        <v>5.48</v>
      </c>
      <c r="K257" s="4" t="n">
        <v>0</v>
      </c>
      <c r="L257" s="4" t="n">
        <v>3.2</v>
      </c>
      <c r="M257" s="4" t="n">
        <v>799046.94</v>
      </c>
      <c r="N257" s="4" t="n">
        <v>144553.64</v>
      </c>
    </row>
    <row r="258" customFormat="false" ht="15" hidden="false" customHeight="false" outlineLevel="0" collapsed="false">
      <c r="A258" s="4" t="s">
        <v>90</v>
      </c>
      <c r="B258" s="4" t="s">
        <v>20</v>
      </c>
      <c r="C258" s="4" t="s">
        <v>29</v>
      </c>
      <c r="D258" s="4" t="s">
        <v>26</v>
      </c>
      <c r="E258" s="4" t="n">
        <v>75412.74</v>
      </c>
      <c r="F258" s="4" t="n">
        <v>5641</v>
      </c>
      <c r="G258" s="4" t="n">
        <v>0.059</v>
      </c>
      <c r="H258" s="4" t="n">
        <v>13</v>
      </c>
      <c r="I258" s="4" t="n">
        <v>87.9</v>
      </c>
      <c r="J258" s="4" t="n">
        <v>0.84</v>
      </c>
      <c r="K258" s="4" t="n">
        <v>0</v>
      </c>
      <c r="L258" s="4" t="n">
        <v>3.6</v>
      </c>
      <c r="M258" s="4" t="n">
        <v>720079.54</v>
      </c>
      <c r="N258" s="4" t="n">
        <v>119499.47</v>
      </c>
    </row>
    <row r="259" customFormat="false" ht="15" hidden="false" customHeight="false" outlineLevel="0" collapsed="false">
      <c r="A259" s="4" t="s">
        <v>90</v>
      </c>
      <c r="B259" s="4" t="s">
        <v>21</v>
      </c>
      <c r="C259" s="4" t="s">
        <v>29</v>
      </c>
      <c r="D259" s="4" t="s">
        <v>26</v>
      </c>
      <c r="E259" s="4" t="n">
        <v>36290.08</v>
      </c>
      <c r="F259" s="4" t="n">
        <v>5787</v>
      </c>
      <c r="G259" s="4" t="n">
        <v>0</v>
      </c>
      <c r="H259" s="4" t="n">
        <v>17</v>
      </c>
      <c r="I259" s="4" t="n">
        <v>88.3</v>
      </c>
      <c r="J259" s="4" t="n">
        <v>4.19</v>
      </c>
      <c r="K259" s="4" t="n">
        <v>0</v>
      </c>
      <c r="L259" s="4" t="n">
        <v>4.1</v>
      </c>
      <c r="M259" s="4" t="n">
        <v>612390.14</v>
      </c>
      <c r="N259" s="4" t="n">
        <v>108985.74</v>
      </c>
    </row>
    <row r="260" customFormat="false" ht="15" hidden="false" customHeight="false" outlineLevel="0" collapsed="false">
      <c r="A260" s="4" t="s">
        <v>91</v>
      </c>
      <c r="B260" s="4" t="s">
        <v>16</v>
      </c>
      <c r="C260" s="4" t="s">
        <v>29</v>
      </c>
      <c r="D260" s="4" t="s">
        <v>33</v>
      </c>
      <c r="E260" s="4" t="n">
        <v>65272.58</v>
      </c>
      <c r="F260" s="4" t="n">
        <v>8165</v>
      </c>
      <c r="G260" s="4" t="n">
        <v>0.051</v>
      </c>
      <c r="H260" s="4" t="n">
        <v>19</v>
      </c>
      <c r="I260" s="4" t="n">
        <v>87.8</v>
      </c>
      <c r="J260" s="4" t="n">
        <v>1.26</v>
      </c>
      <c r="K260" s="4" t="n">
        <v>1</v>
      </c>
      <c r="L260" s="4" t="n">
        <v>4.3</v>
      </c>
      <c r="M260" s="4" t="n">
        <v>840108.12</v>
      </c>
      <c r="N260" s="4" t="n">
        <v>126587.01</v>
      </c>
    </row>
    <row r="261" customFormat="false" ht="15" hidden="false" customHeight="false" outlineLevel="0" collapsed="false">
      <c r="A261" s="4" t="s">
        <v>91</v>
      </c>
      <c r="B261" s="4" t="s">
        <v>19</v>
      </c>
      <c r="C261" s="4" t="s">
        <v>29</v>
      </c>
      <c r="D261" s="4" t="s">
        <v>33</v>
      </c>
      <c r="E261" s="4" t="n">
        <v>28670.43</v>
      </c>
      <c r="F261" s="4" t="n">
        <v>7574</v>
      </c>
      <c r="G261" s="4" t="n">
        <v>0.114</v>
      </c>
      <c r="H261" s="4" t="n">
        <v>19</v>
      </c>
      <c r="I261" s="4" t="n">
        <v>82.7</v>
      </c>
      <c r="J261" s="4" t="n">
        <v>2.74</v>
      </c>
      <c r="K261" s="4" t="n">
        <v>0</v>
      </c>
      <c r="L261" s="4" t="n">
        <v>4.6</v>
      </c>
      <c r="M261" s="4" t="n">
        <v>697888.09</v>
      </c>
      <c r="N261" s="4" t="n">
        <v>116249.87</v>
      </c>
    </row>
    <row r="262" customFormat="false" ht="15" hidden="false" customHeight="false" outlineLevel="0" collapsed="false">
      <c r="A262" s="4" t="s">
        <v>91</v>
      </c>
      <c r="B262" s="4" t="s">
        <v>20</v>
      </c>
      <c r="C262" s="4" t="s">
        <v>29</v>
      </c>
      <c r="D262" s="4" t="s">
        <v>33</v>
      </c>
      <c r="E262" s="4" t="n">
        <v>44189.34</v>
      </c>
      <c r="F262" s="4" t="n">
        <v>8634</v>
      </c>
      <c r="G262" s="4" t="n">
        <v>0.143</v>
      </c>
      <c r="H262" s="4" t="n">
        <v>19</v>
      </c>
      <c r="I262" s="4" t="n">
        <v>87.5</v>
      </c>
      <c r="J262" s="4" t="n">
        <v>3.69</v>
      </c>
      <c r="K262" s="4" t="n">
        <v>0</v>
      </c>
      <c r="L262" s="4" t="n">
        <v>4.4</v>
      </c>
      <c r="M262" s="4" t="n">
        <v>746115.59</v>
      </c>
      <c r="N262" s="4" t="n">
        <v>94662.96</v>
      </c>
    </row>
    <row r="263" customFormat="false" ht="15" hidden="false" customHeight="false" outlineLevel="0" collapsed="false">
      <c r="A263" s="4" t="s">
        <v>91</v>
      </c>
      <c r="B263" s="4" t="s">
        <v>21</v>
      </c>
      <c r="C263" s="4" t="s">
        <v>29</v>
      </c>
      <c r="D263" s="4" t="s">
        <v>33</v>
      </c>
      <c r="E263" s="4" t="n">
        <v>38397.82</v>
      </c>
      <c r="F263" s="4" t="n">
        <v>7836</v>
      </c>
      <c r="G263" s="4" t="n">
        <v>0.007</v>
      </c>
      <c r="H263" s="4" t="n">
        <v>21</v>
      </c>
      <c r="I263" s="4" t="n">
        <v>92.2</v>
      </c>
      <c r="J263" s="4" t="n">
        <v>1.82</v>
      </c>
      <c r="K263" s="4" t="n">
        <v>0</v>
      </c>
      <c r="L263" s="4" t="n">
        <v>3.6</v>
      </c>
      <c r="M263" s="4" t="n">
        <v>776110.32</v>
      </c>
      <c r="N263" s="4" t="n">
        <v>139676.21</v>
      </c>
    </row>
    <row r="264" customFormat="false" ht="15" hidden="false" customHeight="false" outlineLevel="0" collapsed="false">
      <c r="A264" s="4" t="s">
        <v>92</v>
      </c>
      <c r="B264" s="4" t="s">
        <v>16</v>
      </c>
      <c r="C264" s="4" t="s">
        <v>32</v>
      </c>
      <c r="D264" s="4" t="s">
        <v>23</v>
      </c>
      <c r="E264" s="4" t="n">
        <v>14519.37</v>
      </c>
      <c r="F264" s="4" t="n">
        <v>3047</v>
      </c>
      <c r="G264" s="4" t="n">
        <v>0.135</v>
      </c>
      <c r="H264" s="4" t="n">
        <v>10</v>
      </c>
      <c r="I264" s="4" t="n">
        <v>90.3</v>
      </c>
      <c r="J264" s="4" t="n">
        <v>6.62</v>
      </c>
      <c r="K264" s="4" t="n">
        <v>0</v>
      </c>
      <c r="L264" s="4" t="n">
        <v>4.2</v>
      </c>
      <c r="M264" s="4" t="n">
        <v>528852.62</v>
      </c>
      <c r="N264" s="4" t="n">
        <v>68426.21</v>
      </c>
    </row>
    <row r="265" customFormat="false" ht="15" hidden="false" customHeight="false" outlineLevel="0" collapsed="false">
      <c r="A265" s="4" t="s">
        <v>92</v>
      </c>
      <c r="B265" s="4" t="s">
        <v>19</v>
      </c>
      <c r="C265" s="4" t="s">
        <v>32</v>
      </c>
      <c r="D265" s="4" t="s">
        <v>23</v>
      </c>
      <c r="E265" s="4" t="n">
        <v>43288.2</v>
      </c>
      <c r="F265" s="4" t="n">
        <v>4783</v>
      </c>
      <c r="G265" s="4" t="n">
        <v>0.169</v>
      </c>
      <c r="H265" s="4" t="n">
        <v>13</v>
      </c>
      <c r="I265" s="4" t="n">
        <v>87.3</v>
      </c>
      <c r="J265" s="4"/>
      <c r="K265" s="4" t="n">
        <v>0</v>
      </c>
      <c r="L265" s="4" t="n">
        <v>4.2</v>
      </c>
      <c r="M265" s="4" t="n">
        <v>605751.33</v>
      </c>
      <c r="N265" s="4" t="n">
        <v>60685.53</v>
      </c>
    </row>
    <row r="266" customFormat="false" ht="15" hidden="false" customHeight="false" outlineLevel="0" collapsed="false">
      <c r="A266" s="4" t="s">
        <v>92</v>
      </c>
      <c r="B266" s="4" t="s">
        <v>20</v>
      </c>
      <c r="C266" s="4" t="s">
        <v>32</v>
      </c>
      <c r="D266" s="4" t="s">
        <v>23</v>
      </c>
      <c r="E266" s="4" t="n">
        <v>51450.55</v>
      </c>
      <c r="F266" s="4" t="n">
        <v>4902</v>
      </c>
      <c r="G266" s="4" t="n">
        <v>0.086</v>
      </c>
      <c r="H266" s="4" t="n">
        <v>11</v>
      </c>
      <c r="I266" s="4" t="n">
        <v>83.7</v>
      </c>
      <c r="J266" s="4" t="n">
        <v>6.92</v>
      </c>
      <c r="K266" s="4" t="n">
        <v>1</v>
      </c>
      <c r="L266" s="4" t="n">
        <v>4.2</v>
      </c>
      <c r="M266" s="4" t="n">
        <v>677640.65</v>
      </c>
      <c r="N266" s="4" t="n">
        <v>111610.89</v>
      </c>
    </row>
    <row r="267" customFormat="false" ht="15" hidden="false" customHeight="false" outlineLevel="0" collapsed="false">
      <c r="A267" s="4" t="s">
        <v>92</v>
      </c>
      <c r="B267" s="4" t="s">
        <v>21</v>
      </c>
      <c r="C267" s="4" t="s">
        <v>32</v>
      </c>
      <c r="D267" s="4" t="s">
        <v>23</v>
      </c>
      <c r="E267" s="4" t="n">
        <v>58688.26</v>
      </c>
      <c r="F267" s="4" t="n">
        <v>4022</v>
      </c>
      <c r="G267" s="4" t="n">
        <v>0.217</v>
      </c>
      <c r="H267" s="4" t="n">
        <v>12</v>
      </c>
      <c r="I267" s="4" t="n">
        <v>93.8</v>
      </c>
      <c r="J267" s="4" t="n">
        <v>11.78</v>
      </c>
      <c r="K267" s="4" t="n">
        <v>0</v>
      </c>
      <c r="L267" s="4" t="n">
        <v>3.7</v>
      </c>
      <c r="M267" s="4" t="n">
        <v>636613.23</v>
      </c>
      <c r="N267" s="4" t="n">
        <v>78908.35</v>
      </c>
    </row>
    <row r="268" customFormat="false" ht="15" hidden="false" customHeight="false" outlineLevel="0" collapsed="false">
      <c r="A268" s="4" t="s">
        <v>93</v>
      </c>
      <c r="B268" s="4" t="s">
        <v>16</v>
      </c>
      <c r="C268" s="4" t="s">
        <v>17</v>
      </c>
      <c r="D268" s="4" t="s">
        <v>23</v>
      </c>
      <c r="E268" s="4" t="n">
        <v>58981.91</v>
      </c>
      <c r="F268" s="4" t="n">
        <v>7324</v>
      </c>
      <c r="G268" s="4" t="n">
        <v>0.094</v>
      </c>
      <c r="H268" s="4" t="n">
        <v>15</v>
      </c>
      <c r="I268" s="4" t="n">
        <v>95.8</v>
      </c>
      <c r="J268" s="4" t="n">
        <v>0.5</v>
      </c>
      <c r="K268" s="4" t="n">
        <v>0</v>
      </c>
      <c r="L268" s="4" t="n">
        <v>3.5</v>
      </c>
      <c r="M268" s="4" t="n">
        <v>708985.19</v>
      </c>
      <c r="N268" s="4" t="n">
        <v>125368.16</v>
      </c>
    </row>
    <row r="269" customFormat="false" ht="15" hidden="false" customHeight="false" outlineLevel="0" collapsed="false">
      <c r="A269" s="4" t="s">
        <v>93</v>
      </c>
      <c r="B269" s="4" t="s">
        <v>19</v>
      </c>
      <c r="C269" s="4" t="s">
        <v>17</v>
      </c>
      <c r="D269" s="4" t="s">
        <v>23</v>
      </c>
      <c r="E269" s="4" t="n">
        <v>73454.54</v>
      </c>
      <c r="F269" s="4" t="n">
        <v>8129</v>
      </c>
      <c r="G269" s="4" t="n">
        <v>0.211</v>
      </c>
      <c r="H269" s="4" t="n">
        <v>20</v>
      </c>
      <c r="I269" s="4" t="n">
        <v>85.2</v>
      </c>
      <c r="J269" s="4" t="n">
        <v>0.88</v>
      </c>
      <c r="K269" s="4" t="n">
        <v>0</v>
      </c>
      <c r="L269" s="4" t="n">
        <v>3.7</v>
      </c>
      <c r="M269" s="4" t="n">
        <v>767792.94</v>
      </c>
      <c r="N269" s="4" t="n">
        <v>96235.77</v>
      </c>
    </row>
    <row r="270" customFormat="false" ht="15" hidden="false" customHeight="false" outlineLevel="0" collapsed="false">
      <c r="A270" s="4" t="s">
        <v>93</v>
      </c>
      <c r="B270" s="4" t="s">
        <v>20</v>
      </c>
      <c r="C270" s="4" t="s">
        <v>17</v>
      </c>
      <c r="D270" s="4" t="s">
        <v>23</v>
      </c>
      <c r="E270" s="4" t="n">
        <v>56602.39</v>
      </c>
      <c r="F270" s="4" t="n">
        <v>7969</v>
      </c>
      <c r="G270" s="4" t="n">
        <v>0.17</v>
      </c>
      <c r="H270" s="4" t="n">
        <v>21</v>
      </c>
      <c r="I270" s="4" t="n">
        <v>88.3</v>
      </c>
      <c r="J270" s="4" t="n">
        <v>2.25</v>
      </c>
      <c r="K270" s="4" t="n">
        <v>0</v>
      </c>
      <c r="L270" s="4" t="n">
        <v>3.7</v>
      </c>
      <c r="M270" s="4" t="n">
        <v>745580.51</v>
      </c>
      <c r="N270" s="4" t="n">
        <v>116273.68</v>
      </c>
    </row>
    <row r="271" customFormat="false" ht="15" hidden="false" customHeight="false" outlineLevel="0" collapsed="false">
      <c r="A271" s="4" t="s">
        <v>93</v>
      </c>
      <c r="B271" s="4" t="s">
        <v>21</v>
      </c>
      <c r="C271" s="4" t="s">
        <v>17</v>
      </c>
      <c r="D271" s="4" t="s">
        <v>23</v>
      </c>
      <c r="E271" s="4" t="n">
        <v>67722.29</v>
      </c>
      <c r="F271" s="4" t="n">
        <v>7240</v>
      </c>
      <c r="G271" s="4" t="n">
        <v>0.026</v>
      </c>
      <c r="H271" s="4" t="n">
        <v>15</v>
      </c>
      <c r="I271" s="4" t="n">
        <v>92.9</v>
      </c>
      <c r="J271" s="4" t="n">
        <v>0.29</v>
      </c>
      <c r="K271" s="4" t="n">
        <v>0</v>
      </c>
      <c r="L271" s="4" t="n">
        <v>3.5</v>
      </c>
      <c r="M271" s="4" t="n">
        <v>762328.31</v>
      </c>
      <c r="N271" s="4" t="n">
        <v>159158.19</v>
      </c>
    </row>
    <row r="272" customFormat="false" ht="15" hidden="false" customHeight="false" outlineLevel="0" collapsed="false">
      <c r="A272" s="4" t="s">
        <v>94</v>
      </c>
      <c r="B272" s="4" t="s">
        <v>16</v>
      </c>
      <c r="C272" s="4" t="s">
        <v>17</v>
      </c>
      <c r="D272" s="4" t="s">
        <v>33</v>
      </c>
      <c r="E272" s="4" t="n">
        <v>48752.92</v>
      </c>
      <c r="F272" s="4" t="n">
        <v>8052</v>
      </c>
      <c r="G272" s="4" t="n">
        <v>0.106</v>
      </c>
      <c r="H272" s="4" t="n">
        <v>16</v>
      </c>
      <c r="I272" s="4" t="n">
        <v>94.9</v>
      </c>
      <c r="J272" s="4" t="n">
        <v>0.65</v>
      </c>
      <c r="K272" s="4" t="n">
        <v>0</v>
      </c>
      <c r="L272" s="4" t="n">
        <v>3.6</v>
      </c>
      <c r="M272" s="4" t="n">
        <v>660633.99</v>
      </c>
      <c r="N272" s="4" t="n">
        <v>118768.66</v>
      </c>
    </row>
    <row r="273" customFormat="false" ht="15" hidden="false" customHeight="false" outlineLevel="0" collapsed="false">
      <c r="A273" s="4" t="s">
        <v>94</v>
      </c>
      <c r="B273" s="4" t="s">
        <v>19</v>
      </c>
      <c r="C273" s="4" t="s">
        <v>17</v>
      </c>
      <c r="D273" s="4" t="s">
        <v>33</v>
      </c>
      <c r="E273" s="4" t="n">
        <v>23914.97</v>
      </c>
      <c r="F273" s="4" t="n">
        <v>8018</v>
      </c>
      <c r="G273" s="4" t="n">
        <v>0.139</v>
      </c>
      <c r="H273" s="4" t="n">
        <v>20</v>
      </c>
      <c r="I273" s="4" t="n">
        <v>89</v>
      </c>
      <c r="J273" s="4" t="n">
        <v>0.2</v>
      </c>
      <c r="K273" s="4" t="n">
        <v>0</v>
      </c>
      <c r="L273" s="4" t="n">
        <v>3.5</v>
      </c>
      <c r="M273" s="4" t="n">
        <v>739374.56</v>
      </c>
      <c r="N273" s="4" t="n">
        <v>121032.29</v>
      </c>
    </row>
    <row r="274" customFormat="false" ht="15" hidden="false" customHeight="false" outlineLevel="0" collapsed="false">
      <c r="A274" s="4" t="s">
        <v>94</v>
      </c>
      <c r="B274" s="4" t="s">
        <v>20</v>
      </c>
      <c r="C274" s="4" t="s">
        <v>17</v>
      </c>
      <c r="D274" s="4" t="s">
        <v>33</v>
      </c>
      <c r="E274" s="4" t="n">
        <v>61995.3</v>
      </c>
      <c r="F274" s="4" t="n">
        <v>10192</v>
      </c>
      <c r="G274" s="4" t="n">
        <v>0.198</v>
      </c>
      <c r="H274" s="4" t="n">
        <v>21</v>
      </c>
      <c r="I274" s="4" t="n">
        <v>87.6</v>
      </c>
      <c r="J274" s="4" t="n">
        <v>3.63</v>
      </c>
      <c r="K274" s="4" t="n">
        <v>1</v>
      </c>
      <c r="L274" s="4" t="n">
        <v>3.8</v>
      </c>
      <c r="M274" s="4" t="n">
        <v>799756.46</v>
      </c>
      <c r="N274" s="4" t="n">
        <v>105052.93</v>
      </c>
    </row>
    <row r="275" customFormat="false" ht="15" hidden="false" customHeight="false" outlineLevel="0" collapsed="false">
      <c r="A275" s="4" t="s">
        <v>94</v>
      </c>
      <c r="B275" s="4" t="s">
        <v>21</v>
      </c>
      <c r="C275" s="4" t="s">
        <v>17</v>
      </c>
      <c r="D275" s="4" t="s">
        <v>33</v>
      </c>
      <c r="E275" s="4" t="n">
        <v>29344.93</v>
      </c>
      <c r="F275" s="4" t="n">
        <v>7446</v>
      </c>
      <c r="G275" s="4" t="n">
        <v>0.111</v>
      </c>
      <c r="H275" s="4" t="n">
        <v>15</v>
      </c>
      <c r="I275" s="4" t="n">
        <v>86.2</v>
      </c>
      <c r="J275" s="4" t="n">
        <v>0.2</v>
      </c>
      <c r="K275" s="4" t="n">
        <v>0</v>
      </c>
      <c r="L275" s="4" t="n">
        <v>3.2</v>
      </c>
      <c r="M275" s="4" t="n">
        <v>593343</v>
      </c>
      <c r="N275" s="4" t="n">
        <v>82832.24</v>
      </c>
    </row>
    <row r="276" customFormat="false" ht="15" hidden="false" customHeight="false" outlineLevel="0" collapsed="false">
      <c r="A276" s="4" t="s">
        <v>95</v>
      </c>
      <c r="B276" s="4" t="s">
        <v>16</v>
      </c>
      <c r="C276" s="4" t="s">
        <v>32</v>
      </c>
      <c r="D276" s="4" t="s">
        <v>23</v>
      </c>
      <c r="E276" s="4" t="n">
        <v>50532.17</v>
      </c>
      <c r="F276" s="4" t="n">
        <v>5689</v>
      </c>
      <c r="G276" s="4" t="n">
        <v>0.052</v>
      </c>
      <c r="H276" s="4" t="n">
        <v>17</v>
      </c>
      <c r="I276" s="4" t="n">
        <v>85.6</v>
      </c>
      <c r="J276" s="4" t="n">
        <v>6.23</v>
      </c>
      <c r="K276" s="4" t="n">
        <v>0</v>
      </c>
      <c r="L276" s="4" t="n">
        <v>3.3</v>
      </c>
      <c r="M276" s="4" t="n">
        <v>645039.97</v>
      </c>
      <c r="N276" s="4" t="n">
        <v>83093.33</v>
      </c>
    </row>
    <row r="277" customFormat="false" ht="15" hidden="false" customHeight="false" outlineLevel="0" collapsed="false">
      <c r="A277" s="4" t="s">
        <v>95</v>
      </c>
      <c r="B277" s="4" t="s">
        <v>19</v>
      </c>
      <c r="C277" s="4" t="s">
        <v>32</v>
      </c>
      <c r="D277" s="4" t="s">
        <v>23</v>
      </c>
      <c r="E277" s="4" t="n">
        <v>17562.57</v>
      </c>
      <c r="F277" s="4" t="n">
        <v>3326</v>
      </c>
      <c r="G277" s="4" t="n">
        <v>0.153</v>
      </c>
      <c r="H277" s="4" t="n">
        <v>14</v>
      </c>
      <c r="I277" s="4" t="n">
        <v>88.1</v>
      </c>
      <c r="J277" s="4" t="n">
        <v>1.04</v>
      </c>
      <c r="K277" s="4" t="n">
        <v>0</v>
      </c>
      <c r="L277" s="4" t="n">
        <v>3.1</v>
      </c>
      <c r="M277" s="4" t="n">
        <v>561597.33</v>
      </c>
      <c r="N277" s="4" t="n">
        <v>75072.75</v>
      </c>
    </row>
    <row r="278" customFormat="false" ht="15" hidden="false" customHeight="false" outlineLevel="0" collapsed="false">
      <c r="A278" s="4" t="s">
        <v>95</v>
      </c>
      <c r="B278" s="4" t="s">
        <v>20</v>
      </c>
      <c r="C278" s="4" t="s">
        <v>32</v>
      </c>
      <c r="D278" s="4" t="s">
        <v>23</v>
      </c>
      <c r="E278" s="4" t="n">
        <v>47648.71</v>
      </c>
      <c r="F278" s="4" t="n">
        <v>5767</v>
      </c>
      <c r="G278" s="4" t="n">
        <v>0.141</v>
      </c>
      <c r="H278" s="4" t="n">
        <v>17</v>
      </c>
      <c r="I278" s="4" t="n">
        <v>89.8</v>
      </c>
      <c r="J278" s="4" t="n">
        <v>1.76</v>
      </c>
      <c r="K278" s="4" t="n">
        <v>0</v>
      </c>
      <c r="L278" s="4" t="n">
        <v>3.1</v>
      </c>
      <c r="M278" s="4" t="n">
        <v>635837.74</v>
      </c>
      <c r="N278" s="4" t="n">
        <v>114740.64</v>
      </c>
    </row>
    <row r="279" customFormat="false" ht="15" hidden="false" customHeight="false" outlineLevel="0" collapsed="false">
      <c r="A279" s="4" t="s">
        <v>95</v>
      </c>
      <c r="B279" s="4" t="s">
        <v>21</v>
      </c>
      <c r="C279" s="4" t="s">
        <v>32</v>
      </c>
      <c r="D279" s="4" t="s">
        <v>23</v>
      </c>
      <c r="E279" s="4" t="n">
        <v>38297.58</v>
      </c>
      <c r="F279" s="4" t="n">
        <v>5893</v>
      </c>
      <c r="G279" s="4" t="n">
        <v>0.247</v>
      </c>
      <c r="H279" s="4" t="n">
        <v>18</v>
      </c>
      <c r="I279" s="4" t="n">
        <v>77.6</v>
      </c>
      <c r="J279" s="4" t="n">
        <v>2.86</v>
      </c>
      <c r="K279" s="4" t="n">
        <v>0</v>
      </c>
      <c r="L279" s="4" t="n">
        <v>3</v>
      </c>
      <c r="M279" s="4" t="n">
        <v>686737.87</v>
      </c>
      <c r="N279" s="4" t="n">
        <v>83839.67</v>
      </c>
    </row>
    <row r="280" customFormat="false" ht="15" hidden="false" customHeight="false" outlineLevel="0" collapsed="false">
      <c r="A280" s="4" t="s">
        <v>96</v>
      </c>
      <c r="B280" s="4" t="s">
        <v>16</v>
      </c>
      <c r="C280" s="4" t="s">
        <v>29</v>
      </c>
      <c r="D280" s="4" t="s">
        <v>18</v>
      </c>
      <c r="E280" s="4" t="n">
        <v>61784.11</v>
      </c>
      <c r="F280" s="4" t="n">
        <v>8564</v>
      </c>
      <c r="G280" s="4" t="n">
        <v>0.13</v>
      </c>
      <c r="H280" s="4" t="n">
        <v>17</v>
      </c>
      <c r="I280" s="4" t="n">
        <v>87.4</v>
      </c>
      <c r="J280" s="4" t="n">
        <v>18.14</v>
      </c>
      <c r="K280" s="4" t="n">
        <v>1</v>
      </c>
      <c r="L280" s="4" t="n">
        <v>3.4</v>
      </c>
      <c r="M280" s="4" t="n">
        <v>673076.34</v>
      </c>
      <c r="N280" s="4" t="n">
        <v>93899.76</v>
      </c>
    </row>
    <row r="281" customFormat="false" ht="15" hidden="false" customHeight="false" outlineLevel="0" collapsed="false">
      <c r="A281" s="4" t="s">
        <v>96</v>
      </c>
      <c r="B281" s="4" t="s">
        <v>19</v>
      </c>
      <c r="C281" s="4" t="s">
        <v>29</v>
      </c>
      <c r="D281" s="4" t="s">
        <v>18</v>
      </c>
      <c r="E281" s="4" t="n">
        <v>36832.33</v>
      </c>
      <c r="F281" s="4" t="n">
        <v>8001</v>
      </c>
      <c r="G281" s="4" t="n">
        <v>0</v>
      </c>
      <c r="H281" s="4" t="n">
        <v>19</v>
      </c>
      <c r="I281" s="4" t="n">
        <v>88.7</v>
      </c>
      <c r="J281" s="4" t="n">
        <v>3.39</v>
      </c>
      <c r="K281" s="4" t="n">
        <v>0</v>
      </c>
      <c r="L281" s="4" t="n">
        <v>4</v>
      </c>
      <c r="M281" s="4" t="n">
        <v>738548.42</v>
      </c>
      <c r="N281" s="4" t="n">
        <v>134282.77</v>
      </c>
    </row>
    <row r="282" customFormat="false" ht="15" hidden="false" customHeight="false" outlineLevel="0" collapsed="false">
      <c r="A282" s="4" t="s">
        <v>96</v>
      </c>
      <c r="B282" s="4" t="s">
        <v>20</v>
      </c>
      <c r="C282" s="4" t="s">
        <v>29</v>
      </c>
      <c r="D282" s="4" t="s">
        <v>18</v>
      </c>
      <c r="E282" s="4" t="n">
        <v>48609.41</v>
      </c>
      <c r="F282" s="4" t="n">
        <v>9324</v>
      </c>
      <c r="G282" s="4" t="n">
        <v>0.213</v>
      </c>
      <c r="H282" s="4" t="n">
        <v>18</v>
      </c>
      <c r="I282" s="4" t="n">
        <v>86.5</v>
      </c>
      <c r="J282" s="4" t="n">
        <v>1.44</v>
      </c>
      <c r="K282" s="4" t="n">
        <v>0</v>
      </c>
      <c r="L282" s="4" t="n">
        <v>3.9</v>
      </c>
      <c r="M282" s="4" t="n">
        <v>756619.77</v>
      </c>
      <c r="N282" s="4" t="n">
        <v>112057.69</v>
      </c>
    </row>
    <row r="283" customFormat="false" ht="15" hidden="false" customHeight="false" outlineLevel="0" collapsed="false">
      <c r="A283" s="4" t="s">
        <v>96</v>
      </c>
      <c r="B283" s="4" t="s">
        <v>21</v>
      </c>
      <c r="C283" s="4" t="s">
        <v>29</v>
      </c>
      <c r="D283" s="4" t="s">
        <v>18</v>
      </c>
      <c r="E283" s="4" t="n">
        <v>70284.06</v>
      </c>
      <c r="F283" s="4" t="n">
        <v>9109</v>
      </c>
      <c r="G283" s="4" t="n">
        <v>0.004</v>
      </c>
      <c r="H283" s="4" t="n">
        <v>23</v>
      </c>
      <c r="I283" s="4" t="n">
        <v>87</v>
      </c>
      <c r="J283" s="4" t="n">
        <v>3.65</v>
      </c>
      <c r="K283" s="4" t="n">
        <v>0</v>
      </c>
      <c r="L283" s="4" t="n">
        <v>3.7</v>
      </c>
      <c r="M283" s="4" t="n">
        <v>761122.42</v>
      </c>
      <c r="N283" s="4" t="n">
        <v>149802.04</v>
      </c>
    </row>
    <row r="284" customFormat="false" ht="15" hidden="false" customHeight="false" outlineLevel="0" collapsed="false">
      <c r="A284" s="4" t="s">
        <v>97</v>
      </c>
      <c r="B284" s="4" t="s">
        <v>16</v>
      </c>
      <c r="C284" s="4" t="s">
        <v>29</v>
      </c>
      <c r="D284" s="4" t="s">
        <v>23</v>
      </c>
      <c r="E284" s="4" t="n">
        <v>45940.39</v>
      </c>
      <c r="F284" s="4" t="n">
        <v>4022</v>
      </c>
      <c r="G284" s="4" t="n">
        <v>0.069</v>
      </c>
      <c r="H284" s="4" t="n">
        <v>10</v>
      </c>
      <c r="I284" s="4" t="n">
        <v>83</v>
      </c>
      <c r="J284" s="4" t="n">
        <v>1.23</v>
      </c>
      <c r="K284" s="4" t="n">
        <v>1</v>
      </c>
      <c r="L284" s="4" t="n">
        <v>3.8</v>
      </c>
      <c r="M284" s="4" t="n">
        <v>524899.57</v>
      </c>
      <c r="N284" s="4" t="n">
        <v>63619.98</v>
      </c>
    </row>
    <row r="285" customFormat="false" ht="15" hidden="false" customHeight="false" outlineLevel="0" collapsed="false">
      <c r="A285" s="4" t="s">
        <v>97</v>
      </c>
      <c r="B285" s="4" t="s">
        <v>19</v>
      </c>
      <c r="C285" s="4" t="s">
        <v>29</v>
      </c>
      <c r="D285" s="4" t="s">
        <v>23</v>
      </c>
      <c r="E285" s="4" t="n">
        <v>34771.26</v>
      </c>
      <c r="F285" s="4" t="n">
        <v>4355</v>
      </c>
      <c r="G285" s="4" t="n">
        <v>0.051</v>
      </c>
      <c r="H285" s="4" t="n">
        <v>15</v>
      </c>
      <c r="I285" s="4" t="n">
        <v>87.9</v>
      </c>
      <c r="J285" s="4" t="n">
        <v>3.09</v>
      </c>
      <c r="K285" s="4" t="n">
        <v>0</v>
      </c>
      <c r="L285" s="4" t="n">
        <v>4</v>
      </c>
      <c r="M285" s="4" t="n">
        <v>555557.77</v>
      </c>
      <c r="N285" s="4" t="n">
        <v>86475.51</v>
      </c>
    </row>
    <row r="286" customFormat="false" ht="15" hidden="false" customHeight="false" outlineLevel="0" collapsed="false">
      <c r="A286" s="4" t="s">
        <v>97</v>
      </c>
      <c r="B286" s="4" t="s">
        <v>20</v>
      </c>
      <c r="C286" s="4" t="s">
        <v>29</v>
      </c>
      <c r="D286" s="4" t="s">
        <v>23</v>
      </c>
      <c r="E286" s="4" t="n">
        <v>66104.19</v>
      </c>
      <c r="F286" s="4" t="n">
        <v>5745</v>
      </c>
      <c r="G286" s="4" t="n">
        <v>0.07</v>
      </c>
      <c r="H286" s="4" t="n">
        <v>17</v>
      </c>
      <c r="I286" s="4" t="n">
        <v>95.8</v>
      </c>
      <c r="J286" s="4" t="n">
        <v>3.15</v>
      </c>
      <c r="K286" s="4" t="n">
        <v>0</v>
      </c>
      <c r="L286" s="4" t="n">
        <v>4</v>
      </c>
      <c r="M286" s="4" t="n">
        <v>714083.68</v>
      </c>
      <c r="N286" s="4" t="n">
        <v>127231.74</v>
      </c>
    </row>
    <row r="287" customFormat="false" ht="15" hidden="false" customHeight="false" outlineLevel="0" collapsed="false">
      <c r="A287" s="4" t="s">
        <v>97</v>
      </c>
      <c r="B287" s="4" t="s">
        <v>21</v>
      </c>
      <c r="C287" s="4" t="s">
        <v>29</v>
      </c>
      <c r="D287" s="4" t="s">
        <v>23</v>
      </c>
      <c r="E287" s="4" t="n">
        <v>18599.21</v>
      </c>
      <c r="F287" s="4" t="n">
        <v>3027</v>
      </c>
      <c r="G287" s="4" t="n">
        <v>0.122</v>
      </c>
      <c r="H287" s="4" t="n">
        <v>11</v>
      </c>
      <c r="I287" s="4" t="n">
        <v>80.9</v>
      </c>
      <c r="J287" s="4" t="n">
        <v>6.44</v>
      </c>
      <c r="K287" s="4" t="n">
        <v>0</v>
      </c>
      <c r="L287" s="4" t="n">
        <v>4.2</v>
      </c>
      <c r="M287" s="4" t="n">
        <v>497439.82</v>
      </c>
      <c r="N287" s="4" t="n">
        <v>93372.75</v>
      </c>
    </row>
    <row r="288" customFormat="false" ht="15" hidden="false" customHeight="false" outlineLevel="0" collapsed="false">
      <c r="A288" s="4" t="s">
        <v>98</v>
      </c>
      <c r="B288" s="4" t="s">
        <v>16</v>
      </c>
      <c r="C288" s="4" t="s">
        <v>32</v>
      </c>
      <c r="D288" s="4" t="s">
        <v>18</v>
      </c>
      <c r="E288" s="4" t="n">
        <v>60183.06</v>
      </c>
      <c r="F288" s="4" t="n">
        <v>5562</v>
      </c>
      <c r="G288" s="4" t="n">
        <v>0.009</v>
      </c>
      <c r="H288" s="4" t="n">
        <v>13</v>
      </c>
      <c r="I288" s="4" t="n">
        <v>86.3</v>
      </c>
      <c r="J288" s="4" t="n">
        <v>0.2</v>
      </c>
      <c r="K288" s="4" t="n">
        <v>1</v>
      </c>
      <c r="L288" s="4" t="n">
        <v>4.5</v>
      </c>
      <c r="M288" s="4" t="n">
        <v>636775.66</v>
      </c>
      <c r="N288" s="4" t="n">
        <v>122636.86</v>
      </c>
    </row>
    <row r="289" customFormat="false" ht="15" hidden="false" customHeight="false" outlineLevel="0" collapsed="false">
      <c r="A289" s="4" t="s">
        <v>98</v>
      </c>
      <c r="B289" s="4" t="s">
        <v>19</v>
      </c>
      <c r="C289" s="4" t="s">
        <v>32</v>
      </c>
      <c r="D289" s="4" t="s">
        <v>18</v>
      </c>
      <c r="E289" s="4" t="n">
        <v>74539.14</v>
      </c>
      <c r="F289" s="4" t="n">
        <v>4487</v>
      </c>
      <c r="G289" s="4" t="n">
        <v>0.14</v>
      </c>
      <c r="H289" s="4" t="n">
        <v>10</v>
      </c>
      <c r="I289" s="4" t="n">
        <v>90.4</v>
      </c>
      <c r="J289" s="4" t="n">
        <v>0.59</v>
      </c>
      <c r="K289" s="4" t="n">
        <v>0</v>
      </c>
      <c r="L289" s="4" t="n">
        <v>4.5</v>
      </c>
      <c r="M289" s="4" t="n">
        <v>633009.53</v>
      </c>
      <c r="N289" s="4" t="n">
        <v>123782.67</v>
      </c>
    </row>
    <row r="290" customFormat="false" ht="15" hidden="false" customHeight="false" outlineLevel="0" collapsed="false">
      <c r="A290" s="4" t="s">
        <v>98</v>
      </c>
      <c r="B290" s="4" t="s">
        <v>20</v>
      </c>
      <c r="C290" s="4" t="s">
        <v>32</v>
      </c>
      <c r="D290" s="4" t="s">
        <v>18</v>
      </c>
      <c r="E290" s="4" t="n">
        <v>55371.97</v>
      </c>
      <c r="F290" s="4" t="n">
        <v>4162</v>
      </c>
      <c r="G290" s="4" t="n">
        <v>0.183</v>
      </c>
      <c r="H290" s="4" t="n">
        <v>11</v>
      </c>
      <c r="I290" s="4" t="n">
        <v>92</v>
      </c>
      <c r="J290" s="4" t="n">
        <v>0.2</v>
      </c>
      <c r="K290" s="4" t="n">
        <v>1</v>
      </c>
      <c r="L290" s="4" t="n">
        <v>4.2</v>
      </c>
      <c r="M290" s="4" t="n">
        <v>609949</v>
      </c>
      <c r="N290" s="4" t="n">
        <v>126789.25</v>
      </c>
    </row>
    <row r="291" customFormat="false" ht="15" hidden="false" customHeight="false" outlineLevel="0" collapsed="false">
      <c r="A291" s="4" t="s">
        <v>98</v>
      </c>
      <c r="B291" s="4" t="s">
        <v>21</v>
      </c>
      <c r="C291" s="4" t="s">
        <v>32</v>
      </c>
      <c r="D291" s="4" t="s">
        <v>18</v>
      </c>
      <c r="E291" s="4" t="n">
        <v>40928.69</v>
      </c>
      <c r="F291" s="4" t="n">
        <v>4094</v>
      </c>
      <c r="G291" s="4" t="n">
        <v>0.174</v>
      </c>
      <c r="H291" s="4" t="n">
        <v>13</v>
      </c>
      <c r="I291" s="4" t="n">
        <v>82.4</v>
      </c>
      <c r="J291" s="4" t="n">
        <v>1.36</v>
      </c>
      <c r="K291" s="4" t="n">
        <v>0</v>
      </c>
      <c r="L291" s="4" t="n">
        <v>4.8</v>
      </c>
      <c r="M291" s="4" t="n">
        <v>548103.7</v>
      </c>
      <c r="N291" s="4" t="n">
        <v>99905.52</v>
      </c>
    </row>
    <row r="292" customFormat="false" ht="15" hidden="false" customHeight="false" outlineLevel="0" collapsed="false">
      <c r="A292" s="4" t="s">
        <v>99</v>
      </c>
      <c r="B292" s="4" t="s">
        <v>16</v>
      </c>
      <c r="C292" s="4" t="s">
        <v>17</v>
      </c>
      <c r="D292" s="4" t="s">
        <v>18</v>
      </c>
      <c r="E292" s="4" t="n">
        <v>70012.41</v>
      </c>
      <c r="F292" s="4" t="n">
        <v>8484</v>
      </c>
      <c r="G292" s="4" t="n">
        <v>0.273</v>
      </c>
      <c r="H292" s="4" t="n">
        <v>23</v>
      </c>
      <c r="I292" s="4" t="n">
        <v>72.9</v>
      </c>
      <c r="J292" s="4" t="n">
        <v>3.34</v>
      </c>
      <c r="K292" s="4" t="n">
        <v>0</v>
      </c>
      <c r="L292" s="4" t="n">
        <v>3.7</v>
      </c>
      <c r="M292" s="4" t="n">
        <v>729424.42</v>
      </c>
      <c r="N292" s="4" t="n">
        <v>75592.28</v>
      </c>
    </row>
    <row r="293" customFormat="false" ht="15" hidden="false" customHeight="false" outlineLevel="0" collapsed="false">
      <c r="A293" s="4" t="s">
        <v>99</v>
      </c>
      <c r="B293" s="4" t="s">
        <v>19</v>
      </c>
      <c r="C293" s="4" t="s">
        <v>17</v>
      </c>
      <c r="D293" s="4" t="s">
        <v>18</v>
      </c>
      <c r="E293" s="4" t="n">
        <v>68909.26</v>
      </c>
      <c r="F293" s="4" t="n">
        <v>7794</v>
      </c>
      <c r="G293" s="4" t="n">
        <v>0.284</v>
      </c>
      <c r="H293" s="4" t="n">
        <v>22</v>
      </c>
      <c r="I293" s="4" t="n">
        <v>89</v>
      </c>
      <c r="J293" s="4" t="n">
        <v>0.33</v>
      </c>
      <c r="K293" s="4" t="n">
        <v>0</v>
      </c>
      <c r="L293" s="4" t="n">
        <v>4</v>
      </c>
      <c r="M293" s="4" t="n">
        <v>696261.49</v>
      </c>
      <c r="N293" s="4" t="n">
        <v>72455.35</v>
      </c>
    </row>
    <row r="294" customFormat="false" ht="15" hidden="false" customHeight="false" outlineLevel="0" collapsed="false">
      <c r="A294" s="4" t="s">
        <v>99</v>
      </c>
      <c r="B294" s="4" t="s">
        <v>20</v>
      </c>
      <c r="C294" s="4" t="s">
        <v>17</v>
      </c>
      <c r="D294" s="4" t="s">
        <v>18</v>
      </c>
      <c r="E294" s="4" t="n">
        <v>56737.3</v>
      </c>
      <c r="F294" s="4" t="n">
        <v>8300</v>
      </c>
      <c r="G294" s="4" t="n">
        <v>0.032</v>
      </c>
      <c r="H294" s="4" t="n">
        <v>21</v>
      </c>
      <c r="I294" s="4" t="n">
        <v>83.2</v>
      </c>
      <c r="J294" s="4" t="n">
        <v>3.44</v>
      </c>
      <c r="K294" s="4" t="n">
        <v>1</v>
      </c>
      <c r="L294" s="4" t="n">
        <v>4.3</v>
      </c>
      <c r="M294" s="4" t="n">
        <v>813316.71</v>
      </c>
      <c r="N294" s="4" t="n">
        <v>110077.42</v>
      </c>
    </row>
    <row r="295" customFormat="false" ht="15" hidden="false" customHeight="false" outlineLevel="0" collapsed="false">
      <c r="A295" s="4" t="s">
        <v>99</v>
      </c>
      <c r="B295" s="4" t="s">
        <v>21</v>
      </c>
      <c r="C295" s="4" t="s">
        <v>17</v>
      </c>
      <c r="D295" s="4" t="s">
        <v>18</v>
      </c>
      <c r="E295" s="4" t="n">
        <v>54080.91</v>
      </c>
      <c r="F295" s="4" t="n">
        <v>7083</v>
      </c>
      <c r="G295" s="4" t="n">
        <v>0</v>
      </c>
      <c r="H295" s="4" t="n">
        <v>15</v>
      </c>
      <c r="I295" s="4" t="n">
        <v>97</v>
      </c>
      <c r="J295" s="4" t="n">
        <v>5.33</v>
      </c>
      <c r="K295" s="4" t="n">
        <v>0</v>
      </c>
      <c r="L295" s="4" t="n">
        <v>4.1</v>
      </c>
      <c r="M295" s="4" t="n">
        <v>702068.92</v>
      </c>
      <c r="N295" s="4" t="n">
        <v>111266.63</v>
      </c>
    </row>
    <row r="296" customFormat="false" ht="15" hidden="false" customHeight="false" outlineLevel="0" collapsed="false">
      <c r="A296" s="4" t="s">
        <v>100</v>
      </c>
      <c r="B296" s="4" t="s">
        <v>16</v>
      </c>
      <c r="C296" s="4" t="s">
        <v>32</v>
      </c>
      <c r="D296" s="4" t="s">
        <v>23</v>
      </c>
      <c r="E296" s="4" t="n">
        <v>51996.32</v>
      </c>
      <c r="F296" s="4" t="n">
        <v>3834</v>
      </c>
      <c r="G296" s="4" t="n">
        <v>0.096</v>
      </c>
      <c r="H296" s="4" t="n">
        <v>8</v>
      </c>
      <c r="I296" s="4" t="n">
        <v>86.7</v>
      </c>
      <c r="J296" s="4" t="n">
        <v>6.04</v>
      </c>
      <c r="K296" s="4" t="n">
        <v>0</v>
      </c>
      <c r="L296" s="4" t="n">
        <v>4.5</v>
      </c>
      <c r="M296" s="4" t="n">
        <v>546223.7</v>
      </c>
      <c r="N296" s="4" t="n">
        <v>100769.17</v>
      </c>
    </row>
    <row r="297" customFormat="false" ht="15" hidden="false" customHeight="false" outlineLevel="0" collapsed="false">
      <c r="A297" s="4" t="s">
        <v>100</v>
      </c>
      <c r="B297" s="4" t="s">
        <v>19</v>
      </c>
      <c r="C297" s="4" t="s">
        <v>32</v>
      </c>
      <c r="D297" s="4" t="s">
        <v>23</v>
      </c>
      <c r="E297" s="4" t="n">
        <v>40102.88</v>
      </c>
      <c r="F297" s="4" t="n">
        <v>2358</v>
      </c>
      <c r="G297" s="4" t="n">
        <v>0.119</v>
      </c>
      <c r="H297" s="4" t="n">
        <v>9</v>
      </c>
      <c r="I297" s="4" t="n">
        <v>88.7</v>
      </c>
      <c r="J297" s="4" t="n">
        <v>1.6</v>
      </c>
      <c r="K297" s="4" t="n">
        <v>0</v>
      </c>
      <c r="L297" s="4" t="n">
        <v>4.2</v>
      </c>
      <c r="M297" s="4" t="n">
        <v>533121.26</v>
      </c>
      <c r="N297" s="4" t="n">
        <v>55063.39</v>
      </c>
    </row>
    <row r="298" customFormat="false" ht="15" hidden="false" customHeight="false" outlineLevel="0" collapsed="false">
      <c r="A298" s="4" t="s">
        <v>100</v>
      </c>
      <c r="B298" s="4" t="s">
        <v>20</v>
      </c>
      <c r="C298" s="4" t="s">
        <v>32</v>
      </c>
      <c r="D298" s="4" t="s">
        <v>23</v>
      </c>
      <c r="E298" s="4" t="n">
        <v>59825.51</v>
      </c>
      <c r="F298" s="4" t="n">
        <v>1231</v>
      </c>
      <c r="G298" s="4" t="n">
        <v>0.214</v>
      </c>
      <c r="H298" s="4" t="n">
        <v>10</v>
      </c>
      <c r="I298" s="4" t="n">
        <v>84.8</v>
      </c>
      <c r="J298" s="4" t="n">
        <v>8.96</v>
      </c>
      <c r="K298" s="4" t="n">
        <v>0</v>
      </c>
      <c r="L298" s="4" t="n">
        <v>4.7</v>
      </c>
      <c r="M298" s="4" t="n">
        <v>498970.32</v>
      </c>
      <c r="N298" s="4" t="n">
        <v>69656.7</v>
      </c>
    </row>
    <row r="299" customFormat="false" ht="15" hidden="false" customHeight="false" outlineLevel="0" collapsed="false">
      <c r="A299" s="4" t="s">
        <v>100</v>
      </c>
      <c r="B299" s="4" t="s">
        <v>21</v>
      </c>
      <c r="C299" s="4" t="s">
        <v>32</v>
      </c>
      <c r="D299" s="4" t="s">
        <v>23</v>
      </c>
      <c r="E299" s="4" t="n">
        <v>27398.28</v>
      </c>
      <c r="F299" s="4" t="n">
        <v>1723</v>
      </c>
      <c r="G299" s="4" t="n">
        <v>0.171</v>
      </c>
      <c r="H299" s="4" t="n">
        <v>9</v>
      </c>
      <c r="I299" s="4" t="n">
        <v>81</v>
      </c>
      <c r="J299" s="4" t="n">
        <v>0.74</v>
      </c>
      <c r="K299" s="4" t="n">
        <v>0</v>
      </c>
      <c r="L299" s="4" t="n">
        <v>4.6</v>
      </c>
      <c r="M299" s="4" t="n">
        <v>487738.26</v>
      </c>
      <c r="N299" s="4" t="n">
        <v>96435.6</v>
      </c>
    </row>
    <row r="300" customFormat="false" ht="15" hidden="false" customHeight="false" outlineLevel="0" collapsed="false">
      <c r="A300" s="4" t="s">
        <v>101</v>
      </c>
      <c r="B300" s="4" t="s">
        <v>16</v>
      </c>
      <c r="C300" s="4" t="s">
        <v>32</v>
      </c>
      <c r="D300" s="4" t="s">
        <v>23</v>
      </c>
      <c r="E300" s="4" t="n">
        <v>55599.56</v>
      </c>
      <c r="F300" s="4" t="n">
        <v>5896</v>
      </c>
      <c r="G300" s="4" t="n">
        <v>0.036</v>
      </c>
      <c r="H300" s="4" t="n">
        <v>12</v>
      </c>
      <c r="I300" s="4" t="n">
        <v>93.1</v>
      </c>
      <c r="J300" s="4" t="n">
        <v>6.13</v>
      </c>
      <c r="K300" s="4" t="n">
        <v>0</v>
      </c>
      <c r="L300" s="4" t="n">
        <v>3.3</v>
      </c>
      <c r="M300" s="4" t="n">
        <v>668459.37</v>
      </c>
      <c r="N300" s="4" t="n">
        <v>126435.42</v>
      </c>
    </row>
    <row r="301" customFormat="false" ht="15" hidden="false" customHeight="false" outlineLevel="0" collapsed="false">
      <c r="A301" s="4" t="s">
        <v>101</v>
      </c>
      <c r="B301" s="4" t="s">
        <v>19</v>
      </c>
      <c r="C301" s="4" t="s">
        <v>32</v>
      </c>
      <c r="D301" s="4" t="s">
        <v>23</v>
      </c>
      <c r="E301" s="4" t="n">
        <v>55477.61</v>
      </c>
      <c r="F301" s="4" t="n">
        <v>5903</v>
      </c>
      <c r="G301" s="4" t="n">
        <v>0.102</v>
      </c>
      <c r="H301" s="4" t="n">
        <v>14</v>
      </c>
      <c r="I301" s="4" t="n">
        <v>96.2</v>
      </c>
      <c r="J301" s="4" t="n">
        <v>1.41</v>
      </c>
      <c r="K301" s="4" t="n">
        <v>0</v>
      </c>
      <c r="L301" s="4" t="n">
        <v>3.3</v>
      </c>
      <c r="M301" s="4" t="n">
        <v>763162.45</v>
      </c>
      <c r="N301" s="4" t="n">
        <v>162524.05</v>
      </c>
    </row>
    <row r="302" customFormat="false" ht="15" hidden="false" customHeight="false" outlineLevel="0" collapsed="false">
      <c r="A302" s="4" t="s">
        <v>101</v>
      </c>
      <c r="B302" s="4" t="s">
        <v>20</v>
      </c>
      <c r="C302" s="4" t="s">
        <v>32</v>
      </c>
      <c r="D302" s="4" t="s">
        <v>23</v>
      </c>
      <c r="E302" s="4" t="n">
        <v>46174.7</v>
      </c>
      <c r="F302" s="4" t="n">
        <v>4898</v>
      </c>
      <c r="G302" s="4" t="n">
        <v>0.114</v>
      </c>
      <c r="H302" s="4" t="n">
        <v>11</v>
      </c>
      <c r="I302" s="4" t="n">
        <v>91.7</v>
      </c>
      <c r="J302" s="4" t="n">
        <v>3.75</v>
      </c>
      <c r="K302" s="4" t="n">
        <v>0</v>
      </c>
      <c r="L302" s="4" t="n">
        <v>3.1</v>
      </c>
      <c r="M302" s="4" t="n">
        <v>599017.33</v>
      </c>
      <c r="N302" s="4" t="n">
        <v>134009.92</v>
      </c>
    </row>
    <row r="303" customFormat="false" ht="15" hidden="false" customHeight="false" outlineLevel="0" collapsed="false">
      <c r="A303" s="4" t="s">
        <v>101</v>
      </c>
      <c r="B303" s="4" t="s">
        <v>21</v>
      </c>
      <c r="C303" s="4" t="s">
        <v>32</v>
      </c>
      <c r="D303" s="4" t="s">
        <v>23</v>
      </c>
      <c r="E303" s="4" t="n">
        <v>24362.98</v>
      </c>
      <c r="F303" s="4" t="n">
        <v>1462</v>
      </c>
      <c r="G303" s="4" t="n">
        <v>0.117</v>
      </c>
      <c r="H303" s="4" t="n">
        <v>6</v>
      </c>
      <c r="I303" s="4" t="n">
        <v>89.3</v>
      </c>
      <c r="J303" s="4" t="n">
        <v>15.06</v>
      </c>
      <c r="K303" s="4" t="n">
        <v>0</v>
      </c>
      <c r="L303" s="4" t="n">
        <v>3.2</v>
      </c>
      <c r="M303" s="4" t="n">
        <v>401582.58</v>
      </c>
      <c r="N303" s="4" t="n">
        <v>68454.93</v>
      </c>
    </row>
    <row r="304" customFormat="false" ht="15" hidden="false" customHeight="false" outlineLevel="0" collapsed="false">
      <c r="A304" s="4" t="s">
        <v>102</v>
      </c>
      <c r="B304" s="4" t="s">
        <v>16</v>
      </c>
      <c r="C304" s="4" t="s">
        <v>25</v>
      </c>
      <c r="D304" s="4" t="s">
        <v>33</v>
      </c>
      <c r="E304" s="4" t="n">
        <v>40647.67</v>
      </c>
      <c r="F304" s="4" t="n">
        <v>8252</v>
      </c>
      <c r="G304" s="4" t="n">
        <v>0.141</v>
      </c>
      <c r="H304" s="4" t="n">
        <v>22</v>
      </c>
      <c r="I304" s="4" t="n">
        <v>88.2</v>
      </c>
      <c r="J304" s="4" t="n">
        <v>5.07</v>
      </c>
      <c r="K304" s="4" t="n">
        <v>1</v>
      </c>
      <c r="L304" s="4" t="n">
        <v>4.1</v>
      </c>
      <c r="M304" s="4" t="n">
        <v>703812.99</v>
      </c>
      <c r="N304" s="4" t="n">
        <v>133577.98</v>
      </c>
    </row>
    <row r="305" customFormat="false" ht="15" hidden="false" customHeight="false" outlineLevel="0" collapsed="false">
      <c r="A305" s="4" t="s">
        <v>102</v>
      </c>
      <c r="B305" s="4" t="s">
        <v>19</v>
      </c>
      <c r="C305" s="4" t="s">
        <v>25</v>
      </c>
      <c r="D305" s="4" t="s">
        <v>33</v>
      </c>
      <c r="E305" s="4" t="n">
        <v>63986.98</v>
      </c>
      <c r="F305" s="4" t="n">
        <v>7989</v>
      </c>
      <c r="G305" s="4" t="n">
        <v>0.074</v>
      </c>
      <c r="H305" s="4" t="n">
        <v>20</v>
      </c>
      <c r="I305" s="4" t="n">
        <v>83.3</v>
      </c>
      <c r="J305" s="4" t="n">
        <v>3.6</v>
      </c>
      <c r="K305" s="4" t="n">
        <v>0</v>
      </c>
      <c r="L305" s="4" t="n">
        <v>3.7</v>
      </c>
      <c r="M305" s="4" t="n">
        <v>724346.73</v>
      </c>
      <c r="N305" s="4" t="n">
        <v>155013.91</v>
      </c>
    </row>
    <row r="306" customFormat="false" ht="15" hidden="false" customHeight="false" outlineLevel="0" collapsed="false">
      <c r="A306" s="4" t="s">
        <v>102</v>
      </c>
      <c r="B306" s="4" t="s">
        <v>20</v>
      </c>
      <c r="C306" s="4" t="s">
        <v>25</v>
      </c>
      <c r="D306" s="4" t="s">
        <v>33</v>
      </c>
      <c r="E306" s="4" t="n">
        <v>52843.75</v>
      </c>
      <c r="F306" s="4" t="n">
        <v>8268</v>
      </c>
      <c r="G306" s="4" t="n">
        <v>0.138</v>
      </c>
      <c r="H306" s="4" t="n">
        <v>19</v>
      </c>
      <c r="I306" s="4" t="n">
        <v>87.3</v>
      </c>
      <c r="J306" s="4" t="n">
        <v>4.39</v>
      </c>
      <c r="K306" s="4" t="n">
        <v>1</v>
      </c>
      <c r="L306" s="4" t="n">
        <v>4.7</v>
      </c>
      <c r="M306" s="4" t="n">
        <v>730890.01</v>
      </c>
      <c r="N306" s="4" t="n">
        <v>105502.56</v>
      </c>
    </row>
    <row r="307" customFormat="false" ht="15" hidden="false" customHeight="false" outlineLevel="0" collapsed="false">
      <c r="A307" s="4" t="s">
        <v>102</v>
      </c>
      <c r="B307" s="4" t="s">
        <v>21</v>
      </c>
      <c r="C307" s="4" t="s">
        <v>25</v>
      </c>
      <c r="D307" s="4" t="s">
        <v>33</v>
      </c>
      <c r="E307" s="4" t="n">
        <v>31997.25</v>
      </c>
      <c r="F307" s="4" t="n">
        <v>8183</v>
      </c>
      <c r="G307" s="4" t="n">
        <v>0.198</v>
      </c>
      <c r="H307" s="4" t="n">
        <v>18</v>
      </c>
      <c r="I307" s="4" t="n">
        <v>93</v>
      </c>
      <c r="J307" s="4" t="n">
        <v>2.79</v>
      </c>
      <c r="K307" s="4" t="n">
        <v>0</v>
      </c>
      <c r="L307" s="4" t="n">
        <v>4.2</v>
      </c>
      <c r="M307" s="4" t="n">
        <v>780580.95</v>
      </c>
      <c r="N307" s="4" t="n">
        <v>138144.46</v>
      </c>
    </row>
    <row r="308" customFormat="false" ht="15" hidden="false" customHeight="false" outlineLevel="0" collapsed="false">
      <c r="A308" s="4" t="s">
        <v>103</v>
      </c>
      <c r="B308" s="4" t="s">
        <v>16</v>
      </c>
      <c r="C308" s="4" t="s">
        <v>29</v>
      </c>
      <c r="D308" s="4" t="s">
        <v>18</v>
      </c>
      <c r="E308" s="4" t="n">
        <v>54948.02</v>
      </c>
      <c r="F308" s="4" t="n">
        <v>6534</v>
      </c>
      <c r="G308" s="4" t="n">
        <v>0.183</v>
      </c>
      <c r="H308" s="4" t="n">
        <v>14</v>
      </c>
      <c r="I308" s="4" t="n">
        <v>94.5</v>
      </c>
      <c r="J308" s="4" t="n">
        <v>1.56</v>
      </c>
      <c r="K308" s="4" t="n">
        <v>0</v>
      </c>
      <c r="L308" s="4" t="n">
        <v>4</v>
      </c>
      <c r="M308" s="4" t="n">
        <v>727957.48</v>
      </c>
      <c r="N308" s="4" t="n">
        <v>74805.23</v>
      </c>
    </row>
    <row r="309" customFormat="false" ht="15" hidden="false" customHeight="false" outlineLevel="0" collapsed="false">
      <c r="A309" s="4" t="s">
        <v>103</v>
      </c>
      <c r="B309" s="4" t="s">
        <v>19</v>
      </c>
      <c r="C309" s="4" t="s">
        <v>29</v>
      </c>
      <c r="D309" s="4" t="s">
        <v>18</v>
      </c>
      <c r="E309" s="4" t="n">
        <v>46146.24</v>
      </c>
      <c r="F309" s="4" t="n">
        <v>5804</v>
      </c>
      <c r="G309" s="4" t="n">
        <v>0.047</v>
      </c>
      <c r="H309" s="4" t="n">
        <v>16</v>
      </c>
      <c r="I309" s="4" t="n">
        <v>86.9</v>
      </c>
      <c r="J309" s="4" t="n">
        <v>15.82</v>
      </c>
      <c r="K309" s="4" t="n">
        <v>0</v>
      </c>
      <c r="L309" s="4" t="n">
        <v>3.8</v>
      </c>
      <c r="M309" s="4" t="n">
        <v>538376</v>
      </c>
      <c r="N309" s="4" t="n">
        <v>87605.62</v>
      </c>
    </row>
    <row r="310" customFormat="false" ht="15" hidden="false" customHeight="false" outlineLevel="0" collapsed="false">
      <c r="A310" s="4" t="s">
        <v>103</v>
      </c>
      <c r="B310" s="4" t="s">
        <v>20</v>
      </c>
      <c r="C310" s="4" t="s">
        <v>29</v>
      </c>
      <c r="D310" s="4" t="s">
        <v>18</v>
      </c>
      <c r="E310" s="4" t="n">
        <v>22387.26</v>
      </c>
      <c r="F310" s="4" t="n">
        <v>6301</v>
      </c>
      <c r="G310" s="4" t="n">
        <v>0.146</v>
      </c>
      <c r="H310" s="4" t="n">
        <v>14</v>
      </c>
      <c r="I310" s="4" t="n">
        <v>85.9</v>
      </c>
      <c r="J310" s="4" t="n">
        <v>1.17</v>
      </c>
      <c r="K310" s="4" t="n">
        <v>1</v>
      </c>
      <c r="L310" s="4" t="n">
        <v>3.7</v>
      </c>
      <c r="M310" s="4" t="n">
        <v>665342.49</v>
      </c>
      <c r="N310" s="4" t="n">
        <v>93441.81</v>
      </c>
    </row>
    <row r="311" customFormat="false" ht="15" hidden="false" customHeight="false" outlineLevel="0" collapsed="false">
      <c r="A311" s="4" t="s">
        <v>103</v>
      </c>
      <c r="B311" s="4" t="s">
        <v>21</v>
      </c>
      <c r="C311" s="4" t="s">
        <v>29</v>
      </c>
      <c r="D311" s="4" t="s">
        <v>18</v>
      </c>
      <c r="E311" s="4" t="n">
        <v>60684.05</v>
      </c>
      <c r="F311" s="4" t="n">
        <v>6399</v>
      </c>
      <c r="G311" s="4" t="n">
        <v>0.075</v>
      </c>
      <c r="H311" s="4" t="n">
        <v>16</v>
      </c>
      <c r="I311" s="4" t="n">
        <v>99</v>
      </c>
      <c r="J311" s="4" t="n">
        <v>3.82</v>
      </c>
      <c r="K311" s="4" t="n">
        <v>0</v>
      </c>
      <c r="L311" s="4" t="n">
        <v>3.5</v>
      </c>
      <c r="M311" s="4" t="n">
        <v>651164.18</v>
      </c>
      <c r="N311" s="4" t="n">
        <v>109466.5</v>
      </c>
    </row>
    <row r="312" customFormat="false" ht="15" hidden="false" customHeight="false" outlineLevel="0" collapsed="false">
      <c r="A312" s="4" t="s">
        <v>104</v>
      </c>
      <c r="B312" s="4" t="s">
        <v>16</v>
      </c>
      <c r="C312" s="4" t="s">
        <v>29</v>
      </c>
      <c r="D312" s="4" t="s">
        <v>23</v>
      </c>
      <c r="E312" s="4" t="n">
        <v>48465.6</v>
      </c>
      <c r="F312" s="4" t="n">
        <v>5759</v>
      </c>
      <c r="G312" s="4" t="n">
        <v>0.154</v>
      </c>
      <c r="H312" s="4" t="n">
        <v>13</v>
      </c>
      <c r="I312" s="4" t="n">
        <v>87.5</v>
      </c>
      <c r="J312" s="4" t="n">
        <v>4.14</v>
      </c>
      <c r="K312" s="4" t="n">
        <v>0</v>
      </c>
      <c r="L312" s="4" t="n">
        <v>4</v>
      </c>
      <c r="M312" s="4" t="n">
        <v>628538.3</v>
      </c>
      <c r="N312" s="4" t="n">
        <v>112509.15</v>
      </c>
    </row>
    <row r="313" customFormat="false" ht="15" hidden="false" customHeight="false" outlineLevel="0" collapsed="false">
      <c r="A313" s="4" t="s">
        <v>104</v>
      </c>
      <c r="B313" s="4" t="s">
        <v>19</v>
      </c>
      <c r="C313" s="4" t="s">
        <v>29</v>
      </c>
      <c r="D313" s="4" t="s">
        <v>23</v>
      </c>
      <c r="E313" s="4" t="n">
        <v>23702.38</v>
      </c>
      <c r="F313" s="4" t="n">
        <v>5285</v>
      </c>
      <c r="G313" s="4" t="n">
        <v>0.167</v>
      </c>
      <c r="H313" s="4" t="n">
        <v>14</v>
      </c>
      <c r="I313" s="4" t="n">
        <v>79.7</v>
      </c>
      <c r="J313" s="4" t="n">
        <v>1.1</v>
      </c>
      <c r="K313" s="4" t="n">
        <v>0</v>
      </c>
      <c r="L313" s="4" t="n">
        <v>4.3</v>
      </c>
      <c r="M313" s="4" t="n">
        <v>536524.84</v>
      </c>
      <c r="N313" s="4" t="n">
        <v>92752.94</v>
      </c>
    </row>
    <row r="314" customFormat="false" ht="15" hidden="false" customHeight="false" outlineLevel="0" collapsed="false">
      <c r="A314" s="4" t="s">
        <v>104</v>
      </c>
      <c r="B314" s="4" t="s">
        <v>20</v>
      </c>
      <c r="C314" s="4" t="s">
        <v>29</v>
      </c>
      <c r="D314" s="4" t="s">
        <v>23</v>
      </c>
      <c r="E314" s="4" t="n">
        <v>54322.94</v>
      </c>
      <c r="F314" s="4" t="n">
        <v>5434</v>
      </c>
      <c r="G314" s="4" t="n">
        <v>0.2</v>
      </c>
      <c r="H314" s="4" t="n">
        <v>13</v>
      </c>
      <c r="I314" s="4" t="n">
        <v>85.7</v>
      </c>
      <c r="J314" s="4" t="n">
        <v>10.6</v>
      </c>
      <c r="K314" s="4" t="n">
        <v>0</v>
      </c>
      <c r="L314" s="4" t="n">
        <v>4.2</v>
      </c>
      <c r="M314" s="4" t="n">
        <v>621677.3</v>
      </c>
      <c r="N314" s="4" t="n">
        <v>105192.52</v>
      </c>
    </row>
    <row r="315" customFormat="false" ht="15" hidden="false" customHeight="false" outlineLevel="0" collapsed="false">
      <c r="A315" s="4" t="s">
        <v>104</v>
      </c>
      <c r="B315" s="4" t="s">
        <v>21</v>
      </c>
      <c r="C315" s="4" t="s">
        <v>29</v>
      </c>
      <c r="D315" s="4" t="s">
        <v>23</v>
      </c>
      <c r="E315" s="4" t="n">
        <v>86026.58</v>
      </c>
      <c r="F315" s="4" t="n">
        <v>7479</v>
      </c>
      <c r="G315" s="4" t="n">
        <v>0.142</v>
      </c>
      <c r="H315" s="4" t="n">
        <v>20</v>
      </c>
      <c r="I315" s="4" t="n">
        <v>89</v>
      </c>
      <c r="J315" s="4" t="n">
        <v>0.9</v>
      </c>
      <c r="K315" s="4" t="n">
        <v>0</v>
      </c>
      <c r="L315" s="4"/>
      <c r="M315" s="4" t="n">
        <v>771129.07</v>
      </c>
      <c r="N315" s="4" t="n">
        <v>116851.13</v>
      </c>
    </row>
    <row r="316" customFormat="false" ht="15" hidden="false" customHeight="false" outlineLevel="0" collapsed="false">
      <c r="A316" s="4" t="s">
        <v>105</v>
      </c>
      <c r="B316" s="4" t="s">
        <v>16</v>
      </c>
      <c r="C316" s="4" t="s">
        <v>25</v>
      </c>
      <c r="D316" s="4" t="s">
        <v>18</v>
      </c>
      <c r="E316" s="4" t="n">
        <v>78967.52</v>
      </c>
      <c r="F316" s="4" t="n">
        <v>6164</v>
      </c>
      <c r="G316" s="4" t="n">
        <v>0.021</v>
      </c>
      <c r="H316" s="4" t="n">
        <v>16</v>
      </c>
      <c r="I316" s="4" t="n">
        <v>85.5</v>
      </c>
      <c r="J316" s="4" t="n">
        <v>0.2</v>
      </c>
      <c r="K316" s="4" t="n">
        <v>0</v>
      </c>
      <c r="L316" s="4" t="n">
        <v>3.4</v>
      </c>
      <c r="M316" s="4" t="n">
        <v>702052.47</v>
      </c>
      <c r="N316" s="4" t="n">
        <v>121732.51</v>
      </c>
    </row>
    <row r="317" customFormat="false" ht="15" hidden="false" customHeight="false" outlineLevel="0" collapsed="false">
      <c r="A317" s="4" t="s">
        <v>105</v>
      </c>
      <c r="B317" s="4" t="s">
        <v>19</v>
      </c>
      <c r="C317" s="4" t="s">
        <v>25</v>
      </c>
      <c r="D317" s="4" t="s">
        <v>18</v>
      </c>
      <c r="E317" s="4" t="n">
        <v>46767.99</v>
      </c>
      <c r="F317" s="4" t="n">
        <v>7973</v>
      </c>
      <c r="G317" s="4" t="n">
        <v>0.183</v>
      </c>
      <c r="H317" s="4" t="n">
        <v>18</v>
      </c>
      <c r="I317" s="4" t="n">
        <v>94.8</v>
      </c>
      <c r="J317" s="4" t="n">
        <v>4.67</v>
      </c>
      <c r="K317" s="4" t="n">
        <v>0</v>
      </c>
      <c r="L317" s="4"/>
      <c r="M317" s="4" t="n">
        <v>688368.46</v>
      </c>
      <c r="N317" s="4" t="n">
        <v>93588.42</v>
      </c>
    </row>
    <row r="318" customFormat="false" ht="15" hidden="false" customHeight="false" outlineLevel="0" collapsed="false">
      <c r="A318" s="4" t="s">
        <v>105</v>
      </c>
      <c r="B318" s="4" t="s">
        <v>20</v>
      </c>
      <c r="C318" s="4" t="s">
        <v>25</v>
      </c>
      <c r="D318" s="4" t="s">
        <v>18</v>
      </c>
      <c r="E318" s="4" t="n">
        <v>62507.16</v>
      </c>
      <c r="F318" s="4" t="n">
        <v>6000</v>
      </c>
      <c r="G318" s="4" t="n">
        <v>0.091</v>
      </c>
      <c r="H318" s="4" t="n">
        <v>14</v>
      </c>
      <c r="I318" s="4" t="n">
        <v>98.2</v>
      </c>
      <c r="J318" s="4" t="n">
        <v>4.38</v>
      </c>
      <c r="K318" s="4" t="n">
        <v>1</v>
      </c>
      <c r="L318" s="4" t="n">
        <v>3.9</v>
      </c>
      <c r="M318" s="4" t="n">
        <v>712375.77</v>
      </c>
      <c r="N318" s="4" t="n">
        <v>104171.53</v>
      </c>
    </row>
    <row r="319" customFormat="false" ht="15" hidden="false" customHeight="false" outlineLevel="0" collapsed="false">
      <c r="A319" s="4" t="s">
        <v>105</v>
      </c>
      <c r="B319" s="4" t="s">
        <v>21</v>
      </c>
      <c r="C319" s="4" t="s">
        <v>25</v>
      </c>
      <c r="D319" s="4" t="s">
        <v>18</v>
      </c>
      <c r="E319" s="4" t="n">
        <v>66456.28</v>
      </c>
      <c r="F319" s="4" t="n">
        <v>9967</v>
      </c>
      <c r="G319" s="4" t="n">
        <v>0.108</v>
      </c>
      <c r="H319" s="4" t="n">
        <v>20</v>
      </c>
      <c r="I319" s="4" t="n">
        <v>94.7</v>
      </c>
      <c r="J319" s="4" t="n">
        <v>4.48</v>
      </c>
      <c r="K319" s="4" t="n">
        <v>0</v>
      </c>
      <c r="L319" s="4" t="n">
        <v>4.2</v>
      </c>
      <c r="M319" s="4" t="n">
        <v>844710.67</v>
      </c>
      <c r="N319" s="4" t="n">
        <v>137140.18</v>
      </c>
    </row>
    <row r="320" customFormat="false" ht="15" hidden="false" customHeight="false" outlineLevel="0" collapsed="false">
      <c r="A320" s="4" t="s">
        <v>106</v>
      </c>
      <c r="B320" s="4" t="s">
        <v>16</v>
      </c>
      <c r="C320" s="4" t="s">
        <v>17</v>
      </c>
      <c r="D320" s="4" t="s">
        <v>18</v>
      </c>
      <c r="E320" s="4" t="n">
        <v>76614.32</v>
      </c>
      <c r="F320" s="4" t="n">
        <v>5639</v>
      </c>
      <c r="G320" s="4" t="n">
        <v>0.174</v>
      </c>
      <c r="H320" s="4" t="n">
        <v>15</v>
      </c>
      <c r="I320" s="4" t="n">
        <v>92.9</v>
      </c>
      <c r="J320" s="4" t="n">
        <v>1.02</v>
      </c>
      <c r="K320" s="4" t="n">
        <v>1</v>
      </c>
      <c r="L320" s="4" t="n">
        <v>4</v>
      </c>
      <c r="M320" s="4" t="n">
        <v>620264.2</v>
      </c>
      <c r="N320" s="4" t="n">
        <v>91365.64</v>
      </c>
    </row>
    <row r="321" customFormat="false" ht="15" hidden="false" customHeight="false" outlineLevel="0" collapsed="false">
      <c r="A321" s="4" t="s">
        <v>106</v>
      </c>
      <c r="B321" s="4" t="s">
        <v>19</v>
      </c>
      <c r="C321" s="4" t="s">
        <v>17</v>
      </c>
      <c r="D321" s="4" t="s">
        <v>18</v>
      </c>
      <c r="E321" s="4" t="n">
        <v>24088.06</v>
      </c>
      <c r="F321" s="4" t="n">
        <v>3466</v>
      </c>
      <c r="G321" s="4" t="n">
        <v>0</v>
      </c>
      <c r="H321" s="4" t="n">
        <v>11</v>
      </c>
      <c r="I321" s="4" t="n">
        <v>88</v>
      </c>
      <c r="J321" s="4" t="n">
        <v>0.2</v>
      </c>
      <c r="K321" s="4" t="n">
        <v>0</v>
      </c>
      <c r="L321" s="4" t="n">
        <v>3.8</v>
      </c>
      <c r="M321" s="4" t="n">
        <v>536845.42</v>
      </c>
      <c r="N321" s="4" t="n">
        <v>107473.75</v>
      </c>
    </row>
    <row r="322" customFormat="false" ht="15" hidden="false" customHeight="false" outlineLevel="0" collapsed="false">
      <c r="A322" s="4" t="s">
        <v>106</v>
      </c>
      <c r="B322" s="4" t="s">
        <v>20</v>
      </c>
      <c r="C322" s="4" t="s">
        <v>17</v>
      </c>
      <c r="D322" s="4" t="s">
        <v>18</v>
      </c>
      <c r="E322" s="4" t="n">
        <v>81902.58</v>
      </c>
      <c r="F322" s="4" t="n">
        <v>7775</v>
      </c>
      <c r="G322" s="4" t="n">
        <v>0.215</v>
      </c>
      <c r="H322" s="4" t="n">
        <v>20</v>
      </c>
      <c r="I322" s="4" t="n">
        <v>85.2</v>
      </c>
      <c r="J322" s="4" t="n">
        <v>4.89</v>
      </c>
      <c r="K322" s="4" t="n">
        <v>1</v>
      </c>
      <c r="L322" s="4" t="n">
        <v>4.2</v>
      </c>
      <c r="M322" s="4" t="n">
        <v>726776.22</v>
      </c>
      <c r="N322" s="4" t="n">
        <v>90804.49</v>
      </c>
    </row>
    <row r="323" customFormat="false" ht="15" hidden="false" customHeight="false" outlineLevel="0" collapsed="false">
      <c r="A323" s="4" t="s">
        <v>106</v>
      </c>
      <c r="B323" s="4" t="s">
        <v>21</v>
      </c>
      <c r="C323" s="4" t="s">
        <v>17</v>
      </c>
      <c r="D323" s="4" t="s">
        <v>18</v>
      </c>
      <c r="E323" s="4" t="n">
        <v>40553.11</v>
      </c>
      <c r="F323" s="4" t="n">
        <v>5317</v>
      </c>
      <c r="G323" s="4" t="n">
        <v>0.165</v>
      </c>
      <c r="H323" s="4" t="n">
        <v>17</v>
      </c>
      <c r="I323" s="4" t="n">
        <v>84.3</v>
      </c>
      <c r="J323" s="4" t="n">
        <v>11.82</v>
      </c>
      <c r="K323" s="4" t="n">
        <v>0</v>
      </c>
      <c r="L323" s="4" t="n">
        <v>4.1</v>
      </c>
      <c r="M323" s="4" t="n">
        <v>559660.84</v>
      </c>
      <c r="N323" s="4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0" min="10" style="1" width="20"/>
    <col collapsed="false" customWidth="true" hidden="false" outlineLevel="0" max="11" min="11" style="1" width="11"/>
    <col collapsed="false" customWidth="true" hidden="false" outlineLevel="0" max="14" min="12" style="1" width="14"/>
    <col collapsed="false" customWidth="true" hidden="false" outlineLevel="0" max="15" min="15" style="1" width="24"/>
    <col collapsed="false" customWidth="true" hidden="false" outlineLevel="0" max="16" min="16" style="1" width="20"/>
  </cols>
  <sheetData>
    <row r="1" customFormat="false" ht="16.15" hidden="false" customHeight="false" outlineLevel="0" collapsed="false">
      <c r="A1" s="2" t="s">
        <v>107</v>
      </c>
    </row>
    <row r="2" customFormat="false" ht="15" hidden="false" customHeight="false" outlineLevel="0" collapsed="false">
      <c r="A2" s="5" t="s">
        <v>108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23.85" hidden="false" customHeight="fals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109</v>
      </c>
      <c r="P4" s="3" t="s">
        <v>110</v>
      </c>
    </row>
    <row r="5" customFormat="false" ht="15" hidden="false" customHeight="false" outlineLevel="0" collapsed="false">
      <c r="A5" s="6" t="str">
        <f aca="false">Sheet1_Original_Data!A4</f>
        <v>STR-1001</v>
      </c>
      <c r="B5" s="6" t="str">
        <f aca="false">Sheet1_Original_Data!B4</f>
        <v>2025-01-01</v>
      </c>
      <c r="C5" s="6" t="str">
        <f aca="false">Sheet1_Original_Data!C4</f>
        <v>East</v>
      </c>
      <c r="D5" s="6" t="str">
        <f aca="false">Sheet1_Original_Data!D4</f>
        <v>Residential</v>
      </c>
      <c r="E5" s="6" t="n">
        <f aca="false">Sheet1_Original_Data!E4</f>
        <v>70389.11</v>
      </c>
      <c r="F5" s="6" t="n">
        <f aca="false">Sheet1_Original_Data!F4</f>
        <v>8302</v>
      </c>
      <c r="G5" s="6" t="n">
        <f aca="false">Sheet1_Original_Data!G4</f>
        <v>0.042</v>
      </c>
      <c r="H5" s="6" t="n">
        <f aca="false">Sheet1_Original_Data!H4</f>
        <v>17</v>
      </c>
      <c r="I5" s="6" t="n">
        <f aca="false">Sheet1_Original_Data!I4</f>
        <v>75</v>
      </c>
      <c r="J5" s="6" t="n">
        <f aca="false">Sheet1_Original_Data!J4</f>
        <v>5.28</v>
      </c>
      <c r="K5" s="6" t="n">
        <f aca="false">Sheet1_Original_Data!K4</f>
        <v>1</v>
      </c>
      <c r="L5" s="6" t="n">
        <f aca="false">Sheet1_Original_Data!L4</f>
        <v>3.1</v>
      </c>
      <c r="M5" s="6" t="n">
        <f aca="false">Sheet1_Original_Data!M4</f>
        <v>658832.62</v>
      </c>
      <c r="N5" s="6" t="n">
        <f aca="false">Sheet1_Original_Data!N4</f>
        <v>84349.93</v>
      </c>
      <c r="O5" s="4" t="n">
        <f aca="false">IF(Sheet1_Original_Data!J4="",MEDIAN(Sheet1_Original_Data!$J$4:$J$323),Sheet1_Original_Data!J4)</f>
        <v>5.28</v>
      </c>
      <c r="P5" s="4" t="n">
        <f aca="false">IF(Sheet1_Original_Data!L4="",MEDIAN(Sheet1_Original_Data!$L$4:$L$323),Sheet1_Original_Data!L4)</f>
        <v>3.1</v>
      </c>
    </row>
    <row r="6" customFormat="false" ht="15" hidden="false" customHeight="false" outlineLevel="0" collapsed="false">
      <c r="A6" s="6" t="str">
        <f aca="false">Sheet1_Original_Data!A5</f>
        <v>STR-1001</v>
      </c>
      <c r="B6" s="6" t="str">
        <f aca="false">Sheet1_Original_Data!B5</f>
        <v>2025-02-01</v>
      </c>
      <c r="C6" s="6" t="str">
        <f aca="false">Sheet1_Original_Data!C5</f>
        <v>East</v>
      </c>
      <c r="D6" s="6" t="str">
        <f aca="false">Sheet1_Original_Data!D5</f>
        <v>Residential</v>
      </c>
      <c r="E6" s="6" t="n">
        <f aca="false">Sheet1_Original_Data!E5</f>
        <v>43827.89</v>
      </c>
      <c r="F6" s="6" t="n">
        <f aca="false">Sheet1_Original_Data!F5</f>
        <v>8487</v>
      </c>
      <c r="G6" s="6" t="n">
        <f aca="false">Sheet1_Original_Data!G5</f>
        <v>0.168</v>
      </c>
      <c r="H6" s="6" t="n">
        <f aca="false">Sheet1_Original_Data!H5</f>
        <v>23</v>
      </c>
      <c r="I6" s="6" t="n">
        <f aca="false">Sheet1_Original_Data!I5</f>
        <v>84.4</v>
      </c>
      <c r="J6" s="6" t="n">
        <f aca="false">Sheet1_Original_Data!J5</f>
        <v>4.31</v>
      </c>
      <c r="K6" s="6" t="n">
        <f aca="false">Sheet1_Original_Data!K5</f>
        <v>0</v>
      </c>
      <c r="L6" s="6" t="n">
        <f aca="false">Sheet1_Original_Data!L5</f>
        <v>2.8</v>
      </c>
      <c r="M6" s="6" t="n">
        <f aca="false">Sheet1_Original_Data!M5</f>
        <v>634436</v>
      </c>
      <c r="N6" s="6" t="n">
        <f aca="false">Sheet1_Original_Data!N5</f>
        <v>106130.54</v>
      </c>
      <c r="O6" s="4" t="n">
        <f aca="false">IF(Sheet1_Original_Data!J5="",MEDIAN(Sheet1_Original_Data!$J$4:$J$323),Sheet1_Original_Data!J5)</f>
        <v>4.31</v>
      </c>
      <c r="P6" s="4" t="n">
        <f aca="false">IF(Sheet1_Original_Data!L5="",MEDIAN(Sheet1_Original_Data!$L$4:$L$323),Sheet1_Original_Data!L5)</f>
        <v>2.8</v>
      </c>
    </row>
    <row r="7" customFormat="false" ht="15" hidden="false" customHeight="false" outlineLevel="0" collapsed="false">
      <c r="A7" s="6" t="str">
        <f aca="false">Sheet1_Original_Data!A6</f>
        <v>STR-1001</v>
      </c>
      <c r="B7" s="6" t="str">
        <f aca="false">Sheet1_Original_Data!B6</f>
        <v>2025-03-01</v>
      </c>
      <c r="C7" s="6" t="str">
        <f aca="false">Sheet1_Original_Data!C6</f>
        <v>East</v>
      </c>
      <c r="D7" s="6" t="str">
        <f aca="false">Sheet1_Original_Data!D6</f>
        <v>Residential</v>
      </c>
      <c r="E7" s="6" t="n">
        <f aca="false">Sheet1_Original_Data!E6</f>
        <v>59921.75</v>
      </c>
      <c r="F7" s="6" t="n">
        <f aca="false">Sheet1_Original_Data!F6</f>
        <v>9113</v>
      </c>
      <c r="G7" s="6" t="n">
        <f aca="false">Sheet1_Original_Data!G6</f>
        <v>0.133</v>
      </c>
      <c r="H7" s="6" t="n">
        <f aca="false">Sheet1_Original_Data!H6</f>
        <v>20</v>
      </c>
      <c r="I7" s="6" t="n">
        <f aca="false">Sheet1_Original_Data!I6</f>
        <v>88</v>
      </c>
      <c r="J7" s="6" t="n">
        <f aca="false">Sheet1_Original_Data!J6</f>
        <v>12</v>
      </c>
      <c r="K7" s="6" t="n">
        <f aca="false">Sheet1_Original_Data!K6</f>
        <v>0</v>
      </c>
      <c r="L7" s="6" t="n">
        <f aca="false">Sheet1_Original_Data!L6</f>
        <v>3.2</v>
      </c>
      <c r="M7" s="6" t="n">
        <f aca="false">Sheet1_Original_Data!M6</f>
        <v>678722.06</v>
      </c>
      <c r="N7" s="6" t="n">
        <f aca="false">Sheet1_Original_Data!N6</f>
        <v>101883.86</v>
      </c>
      <c r="O7" s="4" t="n">
        <f aca="false">IF(Sheet1_Original_Data!J6="",MEDIAN(Sheet1_Original_Data!$J$4:$J$323),Sheet1_Original_Data!J6)</f>
        <v>12</v>
      </c>
      <c r="P7" s="4" t="n">
        <f aca="false">IF(Sheet1_Original_Data!L6="",MEDIAN(Sheet1_Original_Data!$L$4:$L$323),Sheet1_Original_Data!L6)</f>
        <v>3.2</v>
      </c>
    </row>
    <row r="8" customFormat="false" ht="15" hidden="false" customHeight="false" outlineLevel="0" collapsed="false">
      <c r="A8" s="6" t="str">
        <f aca="false">Sheet1_Original_Data!A7</f>
        <v>STR-1001</v>
      </c>
      <c r="B8" s="6" t="str">
        <f aca="false">Sheet1_Original_Data!B7</f>
        <v>2025-04-01</v>
      </c>
      <c r="C8" s="6" t="str">
        <f aca="false">Sheet1_Original_Data!C7</f>
        <v>East</v>
      </c>
      <c r="D8" s="6" t="str">
        <f aca="false">Sheet1_Original_Data!D7</f>
        <v>Residential</v>
      </c>
      <c r="E8" s="6" t="n">
        <f aca="false">Sheet1_Original_Data!E7</f>
        <v>56856.63</v>
      </c>
      <c r="F8" s="6" t="n">
        <f aca="false">Sheet1_Original_Data!F7</f>
        <v>9431</v>
      </c>
      <c r="G8" s="6" t="n">
        <f aca="false">Sheet1_Original_Data!G7</f>
        <v>0.142</v>
      </c>
      <c r="H8" s="6" t="n">
        <f aca="false">Sheet1_Original_Data!H7</f>
        <v>23</v>
      </c>
      <c r="I8" s="6" t="n">
        <f aca="false">Sheet1_Original_Data!I7</f>
        <v>86.9</v>
      </c>
      <c r="J8" s="6" t="n">
        <f aca="false">Sheet1_Original_Data!J7</f>
        <v>4.97</v>
      </c>
      <c r="K8" s="6" t="n">
        <f aca="false">Sheet1_Original_Data!K7</f>
        <v>0</v>
      </c>
      <c r="L8" s="6" t="n">
        <f aca="false">Sheet1_Original_Data!L7</f>
        <v>3.4</v>
      </c>
      <c r="M8" s="6" t="n">
        <f aca="false">Sheet1_Original_Data!M7</f>
        <v>658920.3</v>
      </c>
      <c r="N8" s="6" t="n">
        <f aca="false">Sheet1_Original_Data!N7</f>
        <v>97910.37</v>
      </c>
      <c r="O8" s="4" t="n">
        <f aca="false">IF(Sheet1_Original_Data!J7="",MEDIAN(Sheet1_Original_Data!$J$4:$J$323),Sheet1_Original_Data!J7)</f>
        <v>4.97</v>
      </c>
      <c r="P8" s="4" t="n">
        <f aca="false">IF(Sheet1_Original_Data!L7="",MEDIAN(Sheet1_Original_Data!$L$4:$L$323),Sheet1_Original_Data!L7)</f>
        <v>3.4</v>
      </c>
    </row>
    <row r="9" customFormat="false" ht="15" hidden="false" customHeight="false" outlineLevel="0" collapsed="false">
      <c r="A9" s="6" t="str">
        <f aca="false">Sheet1_Original_Data!A8</f>
        <v>STR-1002</v>
      </c>
      <c r="B9" s="6" t="str">
        <f aca="false">Sheet1_Original_Data!B8</f>
        <v>2025-01-01</v>
      </c>
      <c r="C9" s="6" t="str">
        <f aca="false">Sheet1_Original_Data!C8</f>
        <v>East</v>
      </c>
      <c r="D9" s="6" t="str">
        <f aca="false">Sheet1_Original_Data!D8</f>
        <v>High Street</v>
      </c>
      <c r="E9" s="6" t="n">
        <f aca="false">Sheet1_Original_Data!E8</f>
        <v>48412.64</v>
      </c>
      <c r="F9" s="6" t="n">
        <f aca="false">Sheet1_Original_Data!F8</f>
        <v>9545</v>
      </c>
      <c r="G9" s="6" t="n">
        <f aca="false">Sheet1_Original_Data!G8</f>
        <v>0.231</v>
      </c>
      <c r="H9" s="6" t="n">
        <f aca="false">Sheet1_Original_Data!H8</f>
        <v>21</v>
      </c>
      <c r="I9" s="6" t="n">
        <f aca="false">Sheet1_Original_Data!I8</f>
        <v>97.6</v>
      </c>
      <c r="J9" s="6" t="n">
        <f aca="false">Sheet1_Original_Data!J8</f>
        <v>6.94</v>
      </c>
      <c r="K9" s="6" t="n">
        <f aca="false">Sheet1_Original_Data!K8</f>
        <v>1</v>
      </c>
      <c r="L9" s="6" t="n">
        <f aca="false">Sheet1_Original_Data!L8</f>
        <v>4.2</v>
      </c>
      <c r="M9" s="6" t="n">
        <f aca="false">Sheet1_Original_Data!M8</f>
        <v>741341.44</v>
      </c>
      <c r="N9" s="6" t="n">
        <f aca="false">Sheet1_Original_Data!N8</f>
        <v>119208.17</v>
      </c>
      <c r="O9" s="4" t="n">
        <f aca="false">IF(Sheet1_Original_Data!J8="",MEDIAN(Sheet1_Original_Data!$J$4:$J$323),Sheet1_Original_Data!J8)</f>
        <v>6.94</v>
      </c>
      <c r="P9" s="4" t="n">
        <f aca="false">IF(Sheet1_Original_Data!L8="",MEDIAN(Sheet1_Original_Data!$L$4:$L$323),Sheet1_Original_Data!L8)</f>
        <v>4.2</v>
      </c>
    </row>
    <row r="10" customFormat="false" ht="15" hidden="false" customHeight="false" outlineLevel="0" collapsed="false">
      <c r="A10" s="6" t="str">
        <f aca="false">Sheet1_Original_Data!A9</f>
        <v>STR-1002</v>
      </c>
      <c r="B10" s="6" t="str">
        <f aca="false">Sheet1_Original_Data!B9</f>
        <v>2025-02-01</v>
      </c>
      <c r="C10" s="6" t="str">
        <f aca="false">Sheet1_Original_Data!C9</f>
        <v>East</v>
      </c>
      <c r="D10" s="6" t="str">
        <f aca="false">Sheet1_Original_Data!D9</f>
        <v>High Street</v>
      </c>
      <c r="E10" s="6" t="n">
        <f aca="false">Sheet1_Original_Data!E9</f>
        <v>64811.21</v>
      </c>
      <c r="F10" s="6" t="n">
        <f aca="false">Sheet1_Original_Data!F9</f>
        <v>9792</v>
      </c>
      <c r="G10" s="6" t="n">
        <f aca="false">Sheet1_Original_Data!G9</f>
        <v>0.112</v>
      </c>
      <c r="H10" s="6" t="n">
        <f aca="false">Sheet1_Original_Data!H9</f>
        <v>20</v>
      </c>
      <c r="I10" s="6" t="n">
        <f aca="false">Sheet1_Original_Data!I9</f>
        <v>84.2</v>
      </c>
      <c r="J10" s="6" t="n">
        <f aca="false">Sheet1_Original_Data!J9</f>
        <v>2.88</v>
      </c>
      <c r="K10" s="6" t="n">
        <f aca="false">Sheet1_Original_Data!K9</f>
        <v>0</v>
      </c>
      <c r="L10" s="6" t="n">
        <f aca="false">Sheet1_Original_Data!L9</f>
        <v>4.2</v>
      </c>
      <c r="M10" s="6" t="n">
        <f aca="false">Sheet1_Original_Data!M9</f>
        <v>761835.34</v>
      </c>
      <c r="N10" s="6" t="n">
        <f aca="false">Sheet1_Original_Data!N9</f>
        <v>149602.23</v>
      </c>
      <c r="O10" s="4" t="n">
        <f aca="false">IF(Sheet1_Original_Data!J9="",MEDIAN(Sheet1_Original_Data!$J$4:$J$323),Sheet1_Original_Data!J9)</f>
        <v>2.88</v>
      </c>
      <c r="P10" s="4" t="n">
        <f aca="false">IF(Sheet1_Original_Data!L9="",MEDIAN(Sheet1_Original_Data!$L$4:$L$323),Sheet1_Original_Data!L9)</f>
        <v>4.2</v>
      </c>
    </row>
    <row r="11" customFormat="false" ht="15" hidden="false" customHeight="false" outlineLevel="0" collapsed="false">
      <c r="A11" s="6" t="str">
        <f aca="false">Sheet1_Original_Data!A10</f>
        <v>STR-1002</v>
      </c>
      <c r="B11" s="6" t="str">
        <f aca="false">Sheet1_Original_Data!B10</f>
        <v>2025-03-01</v>
      </c>
      <c r="C11" s="6" t="str">
        <f aca="false">Sheet1_Original_Data!C10</f>
        <v>East</v>
      </c>
      <c r="D11" s="6" t="str">
        <f aca="false">Sheet1_Original_Data!D10</f>
        <v>High Street</v>
      </c>
      <c r="E11" s="6" t="n">
        <f aca="false">Sheet1_Original_Data!E10</f>
        <v>46213.45</v>
      </c>
      <c r="F11" s="6" t="n">
        <f aca="false">Sheet1_Original_Data!F10</f>
        <v>10616</v>
      </c>
      <c r="G11" s="6" t="n">
        <f aca="false">Sheet1_Original_Data!G10</f>
        <v>0.122</v>
      </c>
      <c r="H11" s="6" t="n">
        <f aca="false">Sheet1_Original_Data!H10</f>
        <v>22</v>
      </c>
      <c r="I11" s="6" t="n">
        <f aca="false">Sheet1_Original_Data!I10</f>
        <v>85.2</v>
      </c>
      <c r="J11" s="6" t="n">
        <f aca="false">Sheet1_Original_Data!J10</f>
        <v>0.2</v>
      </c>
      <c r="K11" s="6" t="n">
        <f aca="false">Sheet1_Original_Data!K10</f>
        <v>1</v>
      </c>
      <c r="L11" s="6" t="n">
        <f aca="false">Sheet1_Original_Data!L10</f>
        <v>4.1</v>
      </c>
      <c r="M11" s="6" t="n">
        <f aca="false">Sheet1_Original_Data!M10</f>
        <v>806615.54</v>
      </c>
      <c r="N11" s="6" t="n">
        <f aca="false">Sheet1_Original_Data!N10</f>
        <v>131364.62</v>
      </c>
      <c r="O11" s="4" t="n">
        <f aca="false">IF(Sheet1_Original_Data!J10="",MEDIAN(Sheet1_Original_Data!$J$4:$J$323),Sheet1_Original_Data!J10)</f>
        <v>0.2</v>
      </c>
      <c r="P11" s="4" t="n">
        <f aca="false">IF(Sheet1_Original_Data!L10="",MEDIAN(Sheet1_Original_Data!$L$4:$L$323),Sheet1_Original_Data!L10)</f>
        <v>4.1</v>
      </c>
    </row>
    <row r="12" customFormat="false" ht="15" hidden="false" customHeight="false" outlineLevel="0" collapsed="false">
      <c r="A12" s="6" t="str">
        <f aca="false">Sheet1_Original_Data!A11</f>
        <v>STR-1002</v>
      </c>
      <c r="B12" s="6" t="str">
        <f aca="false">Sheet1_Original_Data!B11</f>
        <v>2025-04-01</v>
      </c>
      <c r="C12" s="6" t="str">
        <f aca="false">Sheet1_Original_Data!C11</f>
        <v>East</v>
      </c>
      <c r="D12" s="6" t="str">
        <f aca="false">Sheet1_Original_Data!D11</f>
        <v>High Street</v>
      </c>
      <c r="E12" s="6" t="n">
        <f aca="false">Sheet1_Original_Data!E11</f>
        <v>68148.52</v>
      </c>
      <c r="F12" s="6" t="n">
        <f aca="false">Sheet1_Original_Data!F11</f>
        <v>8567</v>
      </c>
      <c r="G12" s="6" t="n">
        <f aca="false">Sheet1_Original_Data!G11</f>
        <v>0.127</v>
      </c>
      <c r="H12" s="6" t="n">
        <f aca="false">Sheet1_Original_Data!H11</f>
        <v>23</v>
      </c>
      <c r="I12" s="6" t="n">
        <f aca="false">Sheet1_Original_Data!I11</f>
        <v>95.6</v>
      </c>
      <c r="J12" s="6" t="n">
        <f aca="false">Sheet1_Original_Data!J11</f>
        <v>0.8</v>
      </c>
      <c r="K12" s="6" t="n">
        <f aca="false">Sheet1_Original_Data!K11</f>
        <v>0</v>
      </c>
      <c r="L12" s="6" t="n">
        <f aca="false">Sheet1_Original_Data!L11</f>
        <v>3.9</v>
      </c>
      <c r="M12" s="6" t="n">
        <f aca="false">Sheet1_Original_Data!M11</f>
        <v>850164.26</v>
      </c>
      <c r="N12" s="6" t="n">
        <f aca="false">Sheet1_Original_Data!N11</f>
        <v>149262.75</v>
      </c>
      <c r="O12" s="4" t="n">
        <f aca="false">IF(Sheet1_Original_Data!J11="",MEDIAN(Sheet1_Original_Data!$J$4:$J$323),Sheet1_Original_Data!J11)</f>
        <v>0.8</v>
      </c>
      <c r="P12" s="4" t="n">
        <f aca="false">IF(Sheet1_Original_Data!L11="",MEDIAN(Sheet1_Original_Data!$L$4:$L$323),Sheet1_Original_Data!L11)</f>
        <v>3.9</v>
      </c>
    </row>
    <row r="13" customFormat="false" ht="15" hidden="false" customHeight="false" outlineLevel="0" collapsed="false">
      <c r="A13" s="6" t="str">
        <f aca="false">Sheet1_Original_Data!A12</f>
        <v>STR-1003</v>
      </c>
      <c r="B13" s="6" t="str">
        <f aca="false">Sheet1_Original_Data!B12</f>
        <v>2025-01-01</v>
      </c>
      <c r="C13" s="6" t="str">
        <f aca="false">Sheet1_Original_Data!C12</f>
        <v>North</v>
      </c>
      <c r="D13" s="6" t="str">
        <f aca="false">Sheet1_Original_Data!D12</f>
        <v>Airport</v>
      </c>
      <c r="E13" s="6" t="n">
        <f aca="false">Sheet1_Original_Data!E12</f>
        <v>71838.86</v>
      </c>
      <c r="F13" s="6" t="n">
        <f aca="false">Sheet1_Original_Data!F12</f>
        <v>10979</v>
      </c>
      <c r="G13" s="6" t="n">
        <f aca="false">Sheet1_Original_Data!G12</f>
        <v>0.215</v>
      </c>
      <c r="H13" s="6" t="n">
        <f aca="false">Sheet1_Original_Data!H12</f>
        <v>26</v>
      </c>
      <c r="I13" s="6" t="n">
        <f aca="false">Sheet1_Original_Data!I12</f>
        <v>88.6</v>
      </c>
      <c r="J13" s="6" t="n">
        <f aca="false">Sheet1_Original_Data!J12</f>
        <v>7.7</v>
      </c>
      <c r="K13" s="6" t="n">
        <f aca="false">Sheet1_Original_Data!K12</f>
        <v>1</v>
      </c>
      <c r="L13" s="6" t="n">
        <f aca="false">Sheet1_Original_Data!L12</f>
        <v>3.8</v>
      </c>
      <c r="M13" s="6" t="n">
        <f aca="false">Sheet1_Original_Data!M12</f>
        <v>930581.7</v>
      </c>
      <c r="N13" s="6" t="n">
        <f aca="false">Sheet1_Original_Data!N12</f>
        <v>136207.98</v>
      </c>
      <c r="O13" s="4" t="n">
        <f aca="false">IF(Sheet1_Original_Data!J12="",MEDIAN(Sheet1_Original_Data!$J$4:$J$323),Sheet1_Original_Data!J12)</f>
        <v>7.7</v>
      </c>
      <c r="P13" s="4" t="n">
        <f aca="false">IF(Sheet1_Original_Data!L12="",MEDIAN(Sheet1_Original_Data!$L$4:$L$323),Sheet1_Original_Data!L12)</f>
        <v>3.8</v>
      </c>
    </row>
    <row r="14" customFormat="false" ht="15" hidden="false" customHeight="false" outlineLevel="0" collapsed="false">
      <c r="A14" s="6" t="str">
        <f aca="false">Sheet1_Original_Data!A13</f>
        <v>STR-1003</v>
      </c>
      <c r="B14" s="6" t="str">
        <f aca="false">Sheet1_Original_Data!B13</f>
        <v>2025-02-01</v>
      </c>
      <c r="C14" s="6" t="str">
        <f aca="false">Sheet1_Original_Data!C13</f>
        <v>North</v>
      </c>
      <c r="D14" s="6" t="str">
        <f aca="false">Sheet1_Original_Data!D13</f>
        <v>Airport</v>
      </c>
      <c r="E14" s="6" t="n">
        <f aca="false">Sheet1_Original_Data!E13</f>
        <v>68133.44</v>
      </c>
      <c r="F14" s="6" t="n">
        <f aca="false">Sheet1_Original_Data!F13</f>
        <v>9459</v>
      </c>
      <c r="G14" s="6" t="n">
        <f aca="false">Sheet1_Original_Data!G13</f>
        <v>0.22</v>
      </c>
      <c r="H14" s="6" t="n">
        <f aca="false">Sheet1_Original_Data!H13</f>
        <v>21</v>
      </c>
      <c r="I14" s="6" t="n">
        <f aca="false">Sheet1_Original_Data!I13</f>
        <v>85</v>
      </c>
      <c r="J14" s="6" t="n">
        <f aca="false">Sheet1_Original_Data!J13</f>
        <v>1.91</v>
      </c>
      <c r="K14" s="6" t="n">
        <f aca="false">Sheet1_Original_Data!K13</f>
        <v>0</v>
      </c>
      <c r="L14" s="6" t="n">
        <f aca="false">Sheet1_Original_Data!L13</f>
        <v>4.2</v>
      </c>
      <c r="M14" s="6" t="n">
        <f aca="false">Sheet1_Original_Data!M13</f>
        <v>779010.94</v>
      </c>
      <c r="N14" s="6" t="n">
        <f aca="false">Sheet1_Original_Data!N13</f>
        <v>106328.09</v>
      </c>
      <c r="O14" s="4" t="n">
        <f aca="false">IF(Sheet1_Original_Data!J13="",MEDIAN(Sheet1_Original_Data!$J$4:$J$323),Sheet1_Original_Data!J13)</f>
        <v>1.91</v>
      </c>
      <c r="P14" s="4" t="n">
        <f aca="false">IF(Sheet1_Original_Data!L13="",MEDIAN(Sheet1_Original_Data!$L$4:$L$323),Sheet1_Original_Data!L13)</f>
        <v>4.2</v>
      </c>
    </row>
    <row r="15" customFormat="false" ht="15" hidden="false" customHeight="false" outlineLevel="0" collapsed="false">
      <c r="A15" s="6" t="str">
        <f aca="false">Sheet1_Original_Data!A14</f>
        <v>STR-1003</v>
      </c>
      <c r="B15" s="6" t="str">
        <f aca="false">Sheet1_Original_Data!B14</f>
        <v>2025-03-01</v>
      </c>
      <c r="C15" s="6" t="str">
        <f aca="false">Sheet1_Original_Data!C14</f>
        <v>North</v>
      </c>
      <c r="D15" s="6" t="str">
        <f aca="false">Sheet1_Original_Data!D14</f>
        <v>Airport</v>
      </c>
      <c r="E15" s="6" t="n">
        <f aca="false">Sheet1_Original_Data!E14</f>
        <v>34285.21</v>
      </c>
      <c r="F15" s="6" t="n">
        <f aca="false">Sheet1_Original_Data!F14</f>
        <v>9172</v>
      </c>
      <c r="G15" s="6" t="n">
        <f aca="false">Sheet1_Original_Data!G14</f>
        <v>0.213</v>
      </c>
      <c r="H15" s="6" t="n">
        <f aca="false">Sheet1_Original_Data!H14</f>
        <v>22</v>
      </c>
      <c r="I15" s="6" t="n">
        <f aca="false">Sheet1_Original_Data!I14</f>
        <v>88.3</v>
      </c>
      <c r="J15" s="6" t="n">
        <f aca="false">Sheet1_Original_Data!J14</f>
        <v>10.46</v>
      </c>
      <c r="K15" s="6" t="n">
        <f aca="false">Sheet1_Original_Data!K14</f>
        <v>1</v>
      </c>
      <c r="L15" s="6" t="n">
        <f aca="false">Sheet1_Original_Data!L14</f>
        <v>3.8</v>
      </c>
      <c r="M15" s="6" t="n">
        <f aca="false">Sheet1_Original_Data!M14</f>
        <v>723060.76</v>
      </c>
      <c r="N15" s="6" t="n">
        <f aca="false">Sheet1_Original_Data!N14</f>
        <v>123131.24</v>
      </c>
      <c r="O15" s="4" t="n">
        <f aca="false">IF(Sheet1_Original_Data!J14="",MEDIAN(Sheet1_Original_Data!$J$4:$J$323),Sheet1_Original_Data!J14)</f>
        <v>10.46</v>
      </c>
      <c r="P15" s="4" t="n">
        <f aca="false">IF(Sheet1_Original_Data!L14="",MEDIAN(Sheet1_Original_Data!$L$4:$L$323),Sheet1_Original_Data!L14)</f>
        <v>3.8</v>
      </c>
    </row>
    <row r="16" customFormat="false" ht="15" hidden="false" customHeight="false" outlineLevel="0" collapsed="false">
      <c r="A16" s="6" t="str">
        <f aca="false">Sheet1_Original_Data!A15</f>
        <v>STR-1003</v>
      </c>
      <c r="B16" s="6" t="str">
        <f aca="false">Sheet1_Original_Data!B15</f>
        <v>2025-04-01</v>
      </c>
      <c r="C16" s="6" t="str">
        <f aca="false">Sheet1_Original_Data!C15</f>
        <v>North</v>
      </c>
      <c r="D16" s="6" t="str">
        <f aca="false">Sheet1_Original_Data!D15</f>
        <v>Airport</v>
      </c>
      <c r="E16" s="6" t="n">
        <f aca="false">Sheet1_Original_Data!E15</f>
        <v>67979.88</v>
      </c>
      <c r="F16" s="6" t="n">
        <f aca="false">Sheet1_Original_Data!F15</f>
        <v>11230</v>
      </c>
      <c r="G16" s="6" t="n">
        <f aca="false">Sheet1_Original_Data!G15</f>
        <v>0.002</v>
      </c>
      <c r="H16" s="6" t="n">
        <f aca="false">Sheet1_Original_Data!H15</f>
        <v>28</v>
      </c>
      <c r="I16" s="6" t="n">
        <f aca="false">Sheet1_Original_Data!I15</f>
        <v>85.3</v>
      </c>
      <c r="J16" s="6" t="n">
        <f aca="false">Sheet1_Original_Data!J15</f>
        <v>7.16</v>
      </c>
      <c r="K16" s="6" t="n">
        <f aca="false">Sheet1_Original_Data!K15</f>
        <v>0</v>
      </c>
      <c r="L16" s="6" t="n">
        <f aca="false">Sheet1_Original_Data!L15</f>
        <v>3.8</v>
      </c>
      <c r="M16" s="6" t="n">
        <f aca="false">Sheet1_Original_Data!M15</f>
        <v>910791.94</v>
      </c>
      <c r="N16" s="6" t="n">
        <f aca="false">Sheet1_Original_Data!N15</f>
        <v>158891.28</v>
      </c>
      <c r="O16" s="4" t="n">
        <f aca="false">IF(Sheet1_Original_Data!J15="",MEDIAN(Sheet1_Original_Data!$J$4:$J$323),Sheet1_Original_Data!J15)</f>
        <v>7.16</v>
      </c>
      <c r="P16" s="4" t="n">
        <f aca="false">IF(Sheet1_Original_Data!L15="",MEDIAN(Sheet1_Original_Data!$L$4:$L$323),Sheet1_Original_Data!L15)</f>
        <v>3.8</v>
      </c>
    </row>
    <row r="17" customFormat="false" ht="15" hidden="false" customHeight="false" outlineLevel="0" collapsed="false">
      <c r="A17" s="6" t="str">
        <f aca="false">Sheet1_Original_Data!A16</f>
        <v>STR-1004</v>
      </c>
      <c r="B17" s="6" t="str">
        <f aca="false">Sheet1_Original_Data!B16</f>
        <v>2025-01-01</v>
      </c>
      <c r="C17" s="6" t="str">
        <f aca="false">Sheet1_Original_Data!C16</f>
        <v>East</v>
      </c>
      <c r="D17" s="6" t="str">
        <f aca="false">Sheet1_Original_Data!D16</f>
        <v>Residential</v>
      </c>
      <c r="E17" s="6" t="n">
        <f aca="false">Sheet1_Original_Data!E16</f>
        <v>71828.26</v>
      </c>
      <c r="F17" s="6" t="n">
        <f aca="false">Sheet1_Original_Data!F16</f>
        <v>12775</v>
      </c>
      <c r="G17" s="6" t="n">
        <f aca="false">Sheet1_Original_Data!G16</f>
        <v>0.116</v>
      </c>
      <c r="H17" s="6" t="n">
        <f aca="false">Sheet1_Original_Data!H16</f>
        <v>30</v>
      </c>
      <c r="I17" s="6" t="n">
        <f aca="false">Sheet1_Original_Data!I16</f>
        <v>81.7</v>
      </c>
      <c r="J17" s="6" t="n">
        <f aca="false">Sheet1_Original_Data!J16</f>
        <v>4.24</v>
      </c>
      <c r="K17" s="6" t="n">
        <f aca="false">Sheet1_Original_Data!K16</f>
        <v>1</v>
      </c>
      <c r="L17" s="6" t="n">
        <f aca="false">Sheet1_Original_Data!L16</f>
        <v>4.2</v>
      </c>
      <c r="M17" s="6" t="n">
        <f aca="false">Sheet1_Original_Data!M16</f>
        <v>922168.6</v>
      </c>
      <c r="N17" s="6" t="n">
        <f aca="false">Sheet1_Original_Data!N16</f>
        <v>107494.53</v>
      </c>
      <c r="O17" s="4" t="n">
        <f aca="false">IF(Sheet1_Original_Data!J16="",MEDIAN(Sheet1_Original_Data!$J$4:$J$323),Sheet1_Original_Data!J16)</f>
        <v>4.24</v>
      </c>
      <c r="P17" s="4" t="n">
        <f aca="false">IF(Sheet1_Original_Data!L16="",MEDIAN(Sheet1_Original_Data!$L$4:$L$323),Sheet1_Original_Data!L16)</f>
        <v>4.2</v>
      </c>
    </row>
    <row r="18" customFormat="false" ht="15" hidden="false" customHeight="false" outlineLevel="0" collapsed="false">
      <c r="A18" s="6" t="str">
        <f aca="false">Sheet1_Original_Data!A17</f>
        <v>STR-1004</v>
      </c>
      <c r="B18" s="6" t="str">
        <f aca="false">Sheet1_Original_Data!B17</f>
        <v>2025-02-01</v>
      </c>
      <c r="C18" s="6" t="str">
        <f aca="false">Sheet1_Original_Data!C17</f>
        <v>East</v>
      </c>
      <c r="D18" s="6" t="str">
        <f aca="false">Sheet1_Original_Data!D17</f>
        <v>Residential</v>
      </c>
      <c r="E18" s="6" t="n">
        <f aca="false">Sheet1_Original_Data!E17</f>
        <v>55716.82</v>
      </c>
      <c r="F18" s="6" t="n">
        <f aca="false">Sheet1_Original_Data!F17</f>
        <v>10054</v>
      </c>
      <c r="G18" s="6" t="n">
        <f aca="false">Sheet1_Original_Data!G17</f>
        <v>0.146</v>
      </c>
      <c r="H18" s="6" t="n">
        <f aca="false">Sheet1_Original_Data!H17</f>
        <v>24</v>
      </c>
      <c r="I18" s="6" t="n">
        <f aca="false">Sheet1_Original_Data!I17</f>
        <v>84.9</v>
      </c>
      <c r="J18" s="6" t="n">
        <f aca="false">Sheet1_Original_Data!J17</f>
        <v>1.06</v>
      </c>
      <c r="K18" s="6" t="n">
        <f aca="false">Sheet1_Original_Data!K17</f>
        <v>0</v>
      </c>
      <c r="L18" s="6" t="n">
        <f aca="false">Sheet1_Original_Data!L17</f>
        <v>4.3</v>
      </c>
      <c r="M18" s="6" t="n">
        <f aca="false">Sheet1_Original_Data!M17</f>
        <v>726606.28</v>
      </c>
      <c r="N18" s="6" t="n">
        <f aca="false">Sheet1_Original_Data!N17</f>
        <v>122729.29</v>
      </c>
      <c r="O18" s="4" t="n">
        <f aca="false">IF(Sheet1_Original_Data!J17="",MEDIAN(Sheet1_Original_Data!$J$4:$J$323),Sheet1_Original_Data!J17)</f>
        <v>1.06</v>
      </c>
      <c r="P18" s="4" t="n">
        <f aca="false">IF(Sheet1_Original_Data!L17="",MEDIAN(Sheet1_Original_Data!$L$4:$L$323),Sheet1_Original_Data!L17)</f>
        <v>4.3</v>
      </c>
    </row>
    <row r="19" customFormat="false" ht="15" hidden="false" customHeight="false" outlineLevel="0" collapsed="false">
      <c r="A19" s="6" t="str">
        <f aca="false">Sheet1_Original_Data!A18</f>
        <v>STR-1004</v>
      </c>
      <c r="B19" s="6" t="str">
        <f aca="false">Sheet1_Original_Data!B18</f>
        <v>2025-03-01</v>
      </c>
      <c r="C19" s="6" t="str">
        <f aca="false">Sheet1_Original_Data!C18</f>
        <v>East</v>
      </c>
      <c r="D19" s="6" t="str">
        <f aca="false">Sheet1_Original_Data!D18</f>
        <v>Residential</v>
      </c>
      <c r="E19" s="6" t="n">
        <f aca="false">Sheet1_Original_Data!E18</f>
        <v>59909.51</v>
      </c>
      <c r="F19" s="6" t="n">
        <f aca="false">Sheet1_Original_Data!F18</f>
        <v>8895</v>
      </c>
      <c r="G19" s="6" t="n">
        <f aca="false">Sheet1_Original_Data!G18</f>
        <v>0.228</v>
      </c>
      <c r="H19" s="6" t="n">
        <f aca="false">Sheet1_Original_Data!H18</f>
        <v>23</v>
      </c>
      <c r="I19" s="6" t="n">
        <f aca="false">Sheet1_Original_Data!I18</f>
        <v>88.8</v>
      </c>
      <c r="J19" s="6" t="n">
        <f aca="false">Sheet1_Original_Data!J18</f>
        <v>0.27</v>
      </c>
      <c r="K19" s="6" t="n">
        <f aca="false">Sheet1_Original_Data!K18</f>
        <v>0</v>
      </c>
      <c r="L19" s="6" t="n">
        <f aca="false">Sheet1_Original_Data!L18</f>
        <v>4.3</v>
      </c>
      <c r="M19" s="6" t="n">
        <f aca="false">Sheet1_Original_Data!M18</f>
        <v>746501.09</v>
      </c>
      <c r="N19" s="6" t="n">
        <f aca="false">Sheet1_Original_Data!N18</f>
        <v>136816.72</v>
      </c>
      <c r="O19" s="4" t="n">
        <f aca="false">IF(Sheet1_Original_Data!J18="",MEDIAN(Sheet1_Original_Data!$J$4:$J$323),Sheet1_Original_Data!J18)</f>
        <v>0.27</v>
      </c>
      <c r="P19" s="4" t="n">
        <f aca="false">IF(Sheet1_Original_Data!L18="",MEDIAN(Sheet1_Original_Data!$L$4:$L$323),Sheet1_Original_Data!L18)</f>
        <v>4.3</v>
      </c>
    </row>
    <row r="20" customFormat="false" ht="15" hidden="false" customHeight="false" outlineLevel="0" collapsed="false">
      <c r="A20" s="6" t="str">
        <f aca="false">Sheet1_Original_Data!A19</f>
        <v>STR-1004</v>
      </c>
      <c r="B20" s="6" t="str">
        <f aca="false">Sheet1_Original_Data!B19</f>
        <v>2025-04-01</v>
      </c>
      <c r="C20" s="6" t="str">
        <f aca="false">Sheet1_Original_Data!C19</f>
        <v>East</v>
      </c>
      <c r="D20" s="6" t="str">
        <f aca="false">Sheet1_Original_Data!D19</f>
        <v>Residential</v>
      </c>
      <c r="E20" s="6" t="n">
        <f aca="false">Sheet1_Original_Data!E19</f>
        <v>75305.71</v>
      </c>
      <c r="F20" s="6" t="n">
        <f aca="false">Sheet1_Original_Data!F19</f>
        <v>10940</v>
      </c>
      <c r="G20" s="6" t="n">
        <f aca="false">Sheet1_Original_Data!G19</f>
        <v>0.006</v>
      </c>
      <c r="H20" s="6" t="n">
        <f aca="false">Sheet1_Original_Data!H19</f>
        <v>26</v>
      </c>
      <c r="I20" s="6" t="n">
        <f aca="false">Sheet1_Original_Data!I19</f>
        <v>76.5</v>
      </c>
      <c r="J20" s="6" t="n">
        <f aca="false">Sheet1_Original_Data!J19</f>
        <v>1.32</v>
      </c>
      <c r="K20" s="6" t="n">
        <f aca="false">Sheet1_Original_Data!K19</f>
        <v>0</v>
      </c>
      <c r="L20" s="6" t="n">
        <f aca="false">Sheet1_Original_Data!L19</f>
        <v>4.5</v>
      </c>
      <c r="M20" s="6" t="n">
        <f aca="false">Sheet1_Original_Data!M19</f>
        <v>834017.02</v>
      </c>
      <c r="N20" s="6" t="n">
        <f aca="false">Sheet1_Original_Data!N19</f>
        <v>114745.03</v>
      </c>
      <c r="O20" s="4" t="n">
        <f aca="false">IF(Sheet1_Original_Data!J19="",MEDIAN(Sheet1_Original_Data!$J$4:$J$323),Sheet1_Original_Data!J19)</f>
        <v>1.32</v>
      </c>
      <c r="P20" s="4" t="n">
        <f aca="false">IF(Sheet1_Original_Data!L19="",MEDIAN(Sheet1_Original_Data!$L$4:$L$323),Sheet1_Original_Data!L19)</f>
        <v>4.5</v>
      </c>
    </row>
    <row r="21" customFormat="false" ht="15" hidden="false" customHeight="false" outlineLevel="0" collapsed="false">
      <c r="A21" s="6" t="str">
        <f aca="false">Sheet1_Original_Data!A20</f>
        <v>STR-1005</v>
      </c>
      <c r="B21" s="6" t="str">
        <f aca="false">Sheet1_Original_Data!B20</f>
        <v>2025-01-01</v>
      </c>
      <c r="C21" s="6" t="str">
        <f aca="false">Sheet1_Original_Data!C20</f>
        <v>South</v>
      </c>
      <c r="D21" s="6" t="str">
        <f aca="false">Sheet1_Original_Data!D20</f>
        <v>Residential</v>
      </c>
      <c r="E21" s="6" t="n">
        <f aca="false">Sheet1_Original_Data!E20</f>
        <v>48804.22</v>
      </c>
      <c r="F21" s="6" t="n">
        <f aca="false">Sheet1_Original_Data!F20</f>
        <v>7057</v>
      </c>
      <c r="G21" s="6" t="n">
        <f aca="false">Sheet1_Original_Data!G20</f>
        <v>0.005</v>
      </c>
      <c r="H21" s="6" t="n">
        <f aca="false">Sheet1_Original_Data!H20</f>
        <v>15</v>
      </c>
      <c r="I21" s="6" t="n">
        <f aca="false">Sheet1_Original_Data!I20</f>
        <v>87.7</v>
      </c>
      <c r="J21" s="6" t="n">
        <f aca="false">Sheet1_Original_Data!J20</f>
        <v>1.22</v>
      </c>
      <c r="K21" s="6" t="n">
        <f aca="false">Sheet1_Original_Data!K20</f>
        <v>0</v>
      </c>
      <c r="L21" s="6" t="n">
        <f aca="false">Sheet1_Original_Data!L20</f>
        <v>3.7</v>
      </c>
      <c r="M21" s="6" t="n">
        <f aca="false">Sheet1_Original_Data!M20</f>
        <v>666152.52</v>
      </c>
      <c r="N21" s="6" t="n">
        <f aca="false">Sheet1_Original_Data!N20</f>
        <v>107490.58</v>
      </c>
      <c r="O21" s="4" t="n">
        <f aca="false">IF(Sheet1_Original_Data!J20="",MEDIAN(Sheet1_Original_Data!$J$4:$J$323),Sheet1_Original_Data!J20)</f>
        <v>1.22</v>
      </c>
      <c r="P21" s="4" t="n">
        <f aca="false">IF(Sheet1_Original_Data!L20="",MEDIAN(Sheet1_Original_Data!$L$4:$L$323),Sheet1_Original_Data!L20)</f>
        <v>3.7</v>
      </c>
    </row>
    <row r="22" customFormat="false" ht="15" hidden="false" customHeight="false" outlineLevel="0" collapsed="false">
      <c r="A22" s="6" t="str">
        <f aca="false">Sheet1_Original_Data!A21</f>
        <v>STR-1005</v>
      </c>
      <c r="B22" s="6" t="str">
        <f aca="false">Sheet1_Original_Data!B21</f>
        <v>2025-02-01</v>
      </c>
      <c r="C22" s="6" t="str">
        <f aca="false">Sheet1_Original_Data!C21</f>
        <v>South</v>
      </c>
      <c r="D22" s="6" t="str">
        <f aca="false">Sheet1_Original_Data!D21</f>
        <v>Residential</v>
      </c>
      <c r="E22" s="6" t="n">
        <f aca="false">Sheet1_Original_Data!E21</f>
        <v>59117.9</v>
      </c>
      <c r="F22" s="6" t="n">
        <f aca="false">Sheet1_Original_Data!F21</f>
        <v>4263</v>
      </c>
      <c r="G22" s="6" t="n">
        <f aca="false">Sheet1_Original_Data!G21</f>
        <v>0.119</v>
      </c>
      <c r="H22" s="6" t="n">
        <f aca="false">Sheet1_Original_Data!H21</f>
        <v>9</v>
      </c>
      <c r="I22" s="6" t="n">
        <f aca="false">Sheet1_Original_Data!I21</f>
        <v>87.6</v>
      </c>
      <c r="J22" s="6" t="n">
        <f aca="false">Sheet1_Original_Data!J21</f>
        <v>4.01</v>
      </c>
      <c r="K22" s="6" t="n">
        <f aca="false">Sheet1_Original_Data!K21</f>
        <v>0</v>
      </c>
      <c r="L22" s="6" t="n">
        <f aca="false">Sheet1_Original_Data!L21</f>
        <v>3.6</v>
      </c>
      <c r="M22" s="6" t="n">
        <f aca="false">Sheet1_Original_Data!M21</f>
        <v>573155.19</v>
      </c>
      <c r="N22" s="6" t="n">
        <f aca="false">Sheet1_Original_Data!N21</f>
        <v>83680.75</v>
      </c>
      <c r="O22" s="4" t="n">
        <f aca="false">IF(Sheet1_Original_Data!J21="",MEDIAN(Sheet1_Original_Data!$J$4:$J$323),Sheet1_Original_Data!J21)</f>
        <v>4.01</v>
      </c>
      <c r="P22" s="4" t="n">
        <f aca="false">IF(Sheet1_Original_Data!L21="",MEDIAN(Sheet1_Original_Data!$L$4:$L$323),Sheet1_Original_Data!L21)</f>
        <v>3.6</v>
      </c>
    </row>
    <row r="23" customFormat="false" ht="15" hidden="false" customHeight="false" outlineLevel="0" collapsed="false">
      <c r="A23" s="6" t="str">
        <f aca="false">Sheet1_Original_Data!A22</f>
        <v>STR-1005</v>
      </c>
      <c r="B23" s="6" t="str">
        <f aca="false">Sheet1_Original_Data!B22</f>
        <v>2025-03-01</v>
      </c>
      <c r="C23" s="6" t="str">
        <f aca="false">Sheet1_Original_Data!C22</f>
        <v>South</v>
      </c>
      <c r="D23" s="6" t="str">
        <f aca="false">Sheet1_Original_Data!D22</f>
        <v>Residential</v>
      </c>
      <c r="E23" s="6" t="n">
        <f aca="false">Sheet1_Original_Data!E22</f>
        <v>78831.12</v>
      </c>
      <c r="F23" s="6" t="n">
        <f aca="false">Sheet1_Original_Data!F22</f>
        <v>5538</v>
      </c>
      <c r="G23" s="6" t="n">
        <f aca="false">Sheet1_Original_Data!G22</f>
        <v>0</v>
      </c>
      <c r="H23" s="6" t="n">
        <f aca="false">Sheet1_Original_Data!H22</f>
        <v>15</v>
      </c>
      <c r="I23" s="6" t="n">
        <f aca="false">Sheet1_Original_Data!I22</f>
        <v>94.1</v>
      </c>
      <c r="J23" s="6" t="n">
        <f aca="false">Sheet1_Original_Data!J22</f>
        <v>0.2</v>
      </c>
      <c r="K23" s="6" t="n">
        <f aca="false">Sheet1_Original_Data!K22</f>
        <v>0</v>
      </c>
      <c r="L23" s="6" t="n">
        <f aca="false">Sheet1_Original_Data!L22</f>
        <v>3.9</v>
      </c>
      <c r="M23" s="6" t="n">
        <f aca="false">Sheet1_Original_Data!M22</f>
        <v>666573.2</v>
      </c>
      <c r="N23" s="6" t="n">
        <f aca="false">Sheet1_Original_Data!N22</f>
        <v>140641.02</v>
      </c>
      <c r="O23" s="4" t="n">
        <f aca="false">IF(Sheet1_Original_Data!J22="",MEDIAN(Sheet1_Original_Data!$J$4:$J$323),Sheet1_Original_Data!J22)</f>
        <v>0.2</v>
      </c>
      <c r="P23" s="4" t="n">
        <f aca="false">IF(Sheet1_Original_Data!L22="",MEDIAN(Sheet1_Original_Data!$L$4:$L$323),Sheet1_Original_Data!L22)</f>
        <v>3.9</v>
      </c>
    </row>
    <row r="24" customFormat="false" ht="15" hidden="false" customHeight="false" outlineLevel="0" collapsed="false">
      <c r="A24" s="6" t="str">
        <f aca="false">Sheet1_Original_Data!A23</f>
        <v>STR-1005</v>
      </c>
      <c r="B24" s="6" t="str">
        <f aca="false">Sheet1_Original_Data!B23</f>
        <v>2025-04-01</v>
      </c>
      <c r="C24" s="6" t="str">
        <f aca="false">Sheet1_Original_Data!C23</f>
        <v>South</v>
      </c>
      <c r="D24" s="6" t="str">
        <f aca="false">Sheet1_Original_Data!D23</f>
        <v>Residential</v>
      </c>
      <c r="E24" s="6" t="n">
        <f aca="false">Sheet1_Original_Data!E23</f>
        <v>41441.93</v>
      </c>
      <c r="F24" s="6" t="n">
        <f aca="false">Sheet1_Original_Data!F23</f>
        <v>4865</v>
      </c>
      <c r="G24" s="6" t="n">
        <f aca="false">Sheet1_Original_Data!G23</f>
        <v>0.158</v>
      </c>
      <c r="H24" s="6" t="n">
        <f aca="false">Sheet1_Original_Data!H23</f>
        <v>16</v>
      </c>
      <c r="I24" s="6" t="n">
        <f aca="false">Sheet1_Original_Data!I23</f>
        <v>88.3</v>
      </c>
      <c r="J24" s="6" t="n">
        <f aca="false">Sheet1_Original_Data!J23</f>
        <v>0.5</v>
      </c>
      <c r="K24" s="6" t="n">
        <f aca="false">Sheet1_Original_Data!K23</f>
        <v>0</v>
      </c>
      <c r="L24" s="6" t="n">
        <f aca="false">Sheet1_Original_Data!L23</f>
        <v>4</v>
      </c>
      <c r="M24" s="6" t="n">
        <f aca="false">Sheet1_Original_Data!M23</f>
        <v>591619.95</v>
      </c>
      <c r="N24" s="6" t="n">
        <f aca="false">Sheet1_Original_Data!N23</f>
        <v>99521.35</v>
      </c>
      <c r="O24" s="4" t="n">
        <f aca="false">IF(Sheet1_Original_Data!J23="",MEDIAN(Sheet1_Original_Data!$J$4:$J$323),Sheet1_Original_Data!J23)</f>
        <v>0.5</v>
      </c>
      <c r="P24" s="4" t="n">
        <f aca="false">IF(Sheet1_Original_Data!L23="",MEDIAN(Sheet1_Original_Data!$L$4:$L$323),Sheet1_Original_Data!L23)</f>
        <v>4</v>
      </c>
    </row>
    <row r="25" customFormat="false" ht="15" hidden="false" customHeight="false" outlineLevel="0" collapsed="false">
      <c r="A25" s="6" t="str">
        <f aca="false">Sheet1_Original_Data!A24</f>
        <v>STR-1006</v>
      </c>
      <c r="B25" s="6" t="str">
        <f aca="false">Sheet1_Original_Data!B24</f>
        <v>2025-01-01</v>
      </c>
      <c r="C25" s="6" t="str">
        <f aca="false">Sheet1_Original_Data!C24</f>
        <v>North</v>
      </c>
      <c r="D25" s="6" t="str">
        <f aca="false">Sheet1_Original_Data!D24</f>
        <v>Residential</v>
      </c>
      <c r="E25" s="6" t="n">
        <f aca="false">Sheet1_Original_Data!E24</f>
        <v>30356.28</v>
      </c>
      <c r="F25" s="6" t="n">
        <f aca="false">Sheet1_Original_Data!F24</f>
        <v>2822</v>
      </c>
      <c r="G25" s="6" t="n">
        <f aca="false">Sheet1_Original_Data!G24</f>
        <v>0.231</v>
      </c>
      <c r="H25" s="6" t="n">
        <f aca="false">Sheet1_Original_Data!H24</f>
        <v>9</v>
      </c>
      <c r="I25" s="6" t="n">
        <f aca="false">Sheet1_Original_Data!I24</f>
        <v>84.8</v>
      </c>
      <c r="J25" s="6" t="n">
        <f aca="false">Sheet1_Original_Data!J24</f>
        <v>6.95</v>
      </c>
      <c r="K25" s="6" t="n">
        <f aca="false">Sheet1_Original_Data!K24</f>
        <v>0</v>
      </c>
      <c r="L25" s="6" t="n">
        <f aca="false">Sheet1_Original_Data!L24</f>
        <v>5</v>
      </c>
      <c r="M25" s="6" t="n">
        <f aca="false">Sheet1_Original_Data!M24</f>
        <v>415721.82</v>
      </c>
      <c r="N25" s="6" t="n">
        <f aca="false">Sheet1_Original_Data!N24</f>
        <v>61179.15</v>
      </c>
      <c r="O25" s="4" t="n">
        <f aca="false">IF(Sheet1_Original_Data!J24="",MEDIAN(Sheet1_Original_Data!$J$4:$J$323),Sheet1_Original_Data!J24)</f>
        <v>6.95</v>
      </c>
      <c r="P25" s="4" t="n">
        <f aca="false">IF(Sheet1_Original_Data!L24="",MEDIAN(Sheet1_Original_Data!$L$4:$L$323),Sheet1_Original_Data!L24)</f>
        <v>5</v>
      </c>
    </row>
    <row r="26" customFormat="false" ht="15" hidden="false" customHeight="false" outlineLevel="0" collapsed="false">
      <c r="A26" s="6" t="str">
        <f aca="false">Sheet1_Original_Data!A25</f>
        <v>STR-1006</v>
      </c>
      <c r="B26" s="6" t="str">
        <f aca="false">Sheet1_Original_Data!B25</f>
        <v>2025-02-01</v>
      </c>
      <c r="C26" s="6" t="str">
        <f aca="false">Sheet1_Original_Data!C25</f>
        <v>North</v>
      </c>
      <c r="D26" s="6" t="str">
        <f aca="false">Sheet1_Original_Data!D25</f>
        <v>Residential</v>
      </c>
      <c r="E26" s="6" t="n">
        <f aca="false">Sheet1_Original_Data!E25</f>
        <v>33518.88</v>
      </c>
      <c r="F26" s="6" t="n">
        <f aca="false">Sheet1_Original_Data!F25</f>
        <v>2121</v>
      </c>
      <c r="G26" s="6" t="n">
        <f aca="false">Sheet1_Original_Data!G25</f>
        <v>0.176</v>
      </c>
      <c r="H26" s="6" t="n">
        <f aca="false">Sheet1_Original_Data!H25</f>
        <v>8</v>
      </c>
      <c r="I26" s="6" t="n">
        <f aca="false">Sheet1_Original_Data!I25</f>
        <v>88.5</v>
      </c>
      <c r="J26" s="6" t="n">
        <f aca="false">Sheet1_Original_Data!J25</f>
        <v>0.2</v>
      </c>
      <c r="K26" s="6" t="n">
        <f aca="false">Sheet1_Original_Data!K25</f>
        <v>0</v>
      </c>
      <c r="L26" s="6" t="n">
        <f aca="false">Sheet1_Original_Data!L25</f>
        <v>5</v>
      </c>
      <c r="M26" s="6" t="n">
        <f aca="false">Sheet1_Original_Data!M25</f>
        <v>491905.13</v>
      </c>
      <c r="N26" s="6" t="n">
        <f aca="false">Sheet1_Original_Data!N25</f>
        <v>79212.26</v>
      </c>
      <c r="O26" s="4" t="n">
        <f aca="false">IF(Sheet1_Original_Data!J25="",MEDIAN(Sheet1_Original_Data!$J$4:$J$323),Sheet1_Original_Data!J25)</f>
        <v>0.2</v>
      </c>
      <c r="P26" s="4" t="n">
        <f aca="false">IF(Sheet1_Original_Data!L25="",MEDIAN(Sheet1_Original_Data!$L$4:$L$323),Sheet1_Original_Data!L25)</f>
        <v>5</v>
      </c>
    </row>
    <row r="27" customFormat="false" ht="15" hidden="false" customHeight="false" outlineLevel="0" collapsed="false">
      <c r="A27" s="6" t="str">
        <f aca="false">Sheet1_Original_Data!A26</f>
        <v>STR-1006</v>
      </c>
      <c r="B27" s="6" t="str">
        <f aca="false">Sheet1_Original_Data!B26</f>
        <v>2025-03-01</v>
      </c>
      <c r="C27" s="6" t="str">
        <f aca="false">Sheet1_Original_Data!C26</f>
        <v>North</v>
      </c>
      <c r="D27" s="6" t="str">
        <f aca="false">Sheet1_Original_Data!D26</f>
        <v>Residential</v>
      </c>
      <c r="E27" s="6" t="n">
        <f aca="false">Sheet1_Original_Data!E26</f>
        <v>42267.37</v>
      </c>
      <c r="F27" s="6" t="n">
        <f aca="false">Sheet1_Original_Data!F26</f>
        <v>3364</v>
      </c>
      <c r="G27" s="6" t="n">
        <f aca="false">Sheet1_Original_Data!G26</f>
        <v>0.16</v>
      </c>
      <c r="H27" s="6" t="n">
        <f aca="false">Sheet1_Original_Data!H26</f>
        <v>13</v>
      </c>
      <c r="I27" s="6" t="n">
        <f aca="false">Sheet1_Original_Data!I26</f>
        <v>82</v>
      </c>
      <c r="J27" s="6" t="n">
        <f aca="false">Sheet1_Original_Data!J26</f>
        <v>1.61</v>
      </c>
      <c r="K27" s="6" t="n">
        <f aca="false">Sheet1_Original_Data!K26</f>
        <v>1</v>
      </c>
      <c r="L27" s="6" t="n">
        <f aca="false">Sheet1_Original_Data!L26</f>
        <v>4.6</v>
      </c>
      <c r="M27" s="6" t="n">
        <f aca="false">Sheet1_Original_Data!M26</f>
        <v>555929.4</v>
      </c>
      <c r="N27" s="6" t="n">
        <f aca="false">Sheet1_Original_Data!N26</f>
        <v>115201.76</v>
      </c>
      <c r="O27" s="4" t="n">
        <f aca="false">IF(Sheet1_Original_Data!J26="",MEDIAN(Sheet1_Original_Data!$J$4:$J$323),Sheet1_Original_Data!J26)</f>
        <v>1.61</v>
      </c>
      <c r="P27" s="4" t="n">
        <f aca="false">IF(Sheet1_Original_Data!L26="",MEDIAN(Sheet1_Original_Data!$L$4:$L$323),Sheet1_Original_Data!L26)</f>
        <v>4.6</v>
      </c>
    </row>
    <row r="28" customFormat="false" ht="15" hidden="false" customHeight="false" outlineLevel="0" collapsed="false">
      <c r="A28" s="6" t="str">
        <f aca="false">Sheet1_Original_Data!A27</f>
        <v>STR-1006</v>
      </c>
      <c r="B28" s="6" t="str">
        <f aca="false">Sheet1_Original_Data!B27</f>
        <v>2025-04-01</v>
      </c>
      <c r="C28" s="6" t="str">
        <f aca="false">Sheet1_Original_Data!C27</f>
        <v>North</v>
      </c>
      <c r="D28" s="6" t="str">
        <f aca="false">Sheet1_Original_Data!D27</f>
        <v>Residential</v>
      </c>
      <c r="E28" s="6" t="n">
        <f aca="false">Sheet1_Original_Data!E27</f>
        <v>62060.43</v>
      </c>
      <c r="F28" s="6" t="n">
        <f aca="false">Sheet1_Original_Data!F27</f>
        <v>2613</v>
      </c>
      <c r="G28" s="6" t="n">
        <f aca="false">Sheet1_Original_Data!G27</f>
        <v>0.216</v>
      </c>
      <c r="H28" s="6" t="n">
        <f aca="false">Sheet1_Original_Data!H27</f>
        <v>12</v>
      </c>
      <c r="I28" s="6" t="n">
        <f aca="false">Sheet1_Original_Data!I27</f>
        <v>92.1</v>
      </c>
      <c r="J28" s="6" t="n">
        <f aca="false">Sheet1_Original_Data!J27</f>
        <v>1.55</v>
      </c>
      <c r="K28" s="6" t="n">
        <f aca="false">Sheet1_Original_Data!K27</f>
        <v>0</v>
      </c>
      <c r="L28" s="6" t="n">
        <f aca="false">Sheet1_Original_Data!L27</f>
        <v>4.7</v>
      </c>
      <c r="M28" s="6" t="n">
        <f aca="false">Sheet1_Original_Data!M27</f>
        <v>565810.99</v>
      </c>
      <c r="N28" s="6" t="n">
        <f aca="false">Sheet1_Original_Data!N27</f>
        <v>77825.46</v>
      </c>
      <c r="O28" s="4" t="n">
        <f aca="false">IF(Sheet1_Original_Data!J27="",MEDIAN(Sheet1_Original_Data!$J$4:$J$323),Sheet1_Original_Data!J27)</f>
        <v>1.55</v>
      </c>
      <c r="P28" s="4" t="n">
        <f aca="false">IF(Sheet1_Original_Data!L27="",MEDIAN(Sheet1_Original_Data!$L$4:$L$323),Sheet1_Original_Data!L27)</f>
        <v>4.7</v>
      </c>
    </row>
    <row r="29" customFormat="false" ht="15" hidden="false" customHeight="false" outlineLevel="0" collapsed="false">
      <c r="A29" s="6" t="str">
        <f aca="false">Sheet1_Original_Data!A28</f>
        <v>STR-1007</v>
      </c>
      <c r="B29" s="6" t="str">
        <f aca="false">Sheet1_Original_Data!B28</f>
        <v>2025-01-01</v>
      </c>
      <c r="C29" s="6" t="str">
        <f aca="false">Sheet1_Original_Data!C28</f>
        <v>West</v>
      </c>
      <c r="D29" s="6" t="str">
        <f aca="false">Sheet1_Original_Data!D28</f>
        <v>Mall</v>
      </c>
      <c r="E29" s="6" t="n">
        <f aca="false">Sheet1_Original_Data!E28</f>
        <v>57696.69</v>
      </c>
      <c r="F29" s="6" t="n">
        <f aca="false">Sheet1_Original_Data!F28</f>
        <v>10218</v>
      </c>
      <c r="G29" s="6" t="n">
        <f aca="false">Sheet1_Original_Data!G28</f>
        <v>0.121</v>
      </c>
      <c r="H29" s="6" t="n">
        <f aca="false">Sheet1_Original_Data!H28</f>
        <v>25</v>
      </c>
      <c r="I29" s="6" t="n">
        <f aca="false">Sheet1_Original_Data!I28</f>
        <v>94.8</v>
      </c>
      <c r="J29" s="6" t="n">
        <f aca="false">Sheet1_Original_Data!J28</f>
        <v>2.99</v>
      </c>
      <c r="K29" s="6" t="n">
        <f aca="false">Sheet1_Original_Data!K28</f>
        <v>0</v>
      </c>
      <c r="L29" s="6" t="n">
        <f aca="false">Sheet1_Original_Data!L28</f>
        <v>3.5</v>
      </c>
      <c r="M29" s="6" t="n">
        <f aca="false">Sheet1_Original_Data!M28</f>
        <v>811771.14</v>
      </c>
      <c r="N29" s="6" t="n">
        <f aca="false">Sheet1_Original_Data!N28</f>
        <v>148756.24</v>
      </c>
      <c r="O29" s="4" t="n">
        <f aca="false">IF(Sheet1_Original_Data!J28="",MEDIAN(Sheet1_Original_Data!$J$4:$J$323),Sheet1_Original_Data!J28)</f>
        <v>2.99</v>
      </c>
      <c r="P29" s="4" t="n">
        <f aca="false">IF(Sheet1_Original_Data!L28="",MEDIAN(Sheet1_Original_Data!$L$4:$L$323),Sheet1_Original_Data!L28)</f>
        <v>3.5</v>
      </c>
    </row>
    <row r="30" customFormat="false" ht="15" hidden="false" customHeight="false" outlineLevel="0" collapsed="false">
      <c r="A30" s="6" t="str">
        <f aca="false">Sheet1_Original_Data!A29</f>
        <v>STR-1007</v>
      </c>
      <c r="B30" s="6" t="str">
        <f aca="false">Sheet1_Original_Data!B29</f>
        <v>2025-02-01</v>
      </c>
      <c r="C30" s="6" t="str">
        <f aca="false">Sheet1_Original_Data!C29</f>
        <v>West</v>
      </c>
      <c r="D30" s="6" t="str">
        <f aca="false">Sheet1_Original_Data!D29</f>
        <v>Mall</v>
      </c>
      <c r="E30" s="6" t="n">
        <f aca="false">Sheet1_Original_Data!E29</f>
        <v>172415.52</v>
      </c>
      <c r="F30" s="6" t="n">
        <f aca="false">Sheet1_Original_Data!F29</f>
        <v>8927</v>
      </c>
      <c r="G30" s="6" t="n">
        <f aca="false">Sheet1_Original_Data!G29</f>
        <v>0.14</v>
      </c>
      <c r="H30" s="6" t="n">
        <f aca="false">Sheet1_Original_Data!H29</f>
        <v>22</v>
      </c>
      <c r="I30" s="6" t="n">
        <f aca="false">Sheet1_Original_Data!I29</f>
        <v>86.2</v>
      </c>
      <c r="J30" s="6" t="n">
        <f aca="false">Sheet1_Original_Data!J29</f>
        <v>7.04</v>
      </c>
      <c r="K30" s="6" t="n">
        <f aca="false">Sheet1_Original_Data!K29</f>
        <v>0</v>
      </c>
      <c r="L30" s="6" t="n">
        <f aca="false">Sheet1_Original_Data!L29</f>
        <v>3.9</v>
      </c>
      <c r="M30" s="6" t="n">
        <f aca="false">Sheet1_Original_Data!M29</f>
        <v>800451.94</v>
      </c>
      <c r="N30" s="6" t="n">
        <f aca="false">Sheet1_Original_Data!N29</f>
        <v>111572.29</v>
      </c>
      <c r="O30" s="4" t="n">
        <f aca="false">IF(Sheet1_Original_Data!J29="",MEDIAN(Sheet1_Original_Data!$J$4:$J$323),Sheet1_Original_Data!J29)</f>
        <v>7.04</v>
      </c>
      <c r="P30" s="4" t="n">
        <f aca="false">IF(Sheet1_Original_Data!L29="",MEDIAN(Sheet1_Original_Data!$L$4:$L$323),Sheet1_Original_Data!L29)</f>
        <v>3.9</v>
      </c>
    </row>
    <row r="31" customFormat="false" ht="15" hidden="false" customHeight="false" outlineLevel="0" collapsed="false">
      <c r="A31" s="6" t="str">
        <f aca="false">Sheet1_Original_Data!A30</f>
        <v>STR-1007</v>
      </c>
      <c r="B31" s="6" t="str">
        <f aca="false">Sheet1_Original_Data!B30</f>
        <v>2025-03-01</v>
      </c>
      <c r="C31" s="6" t="str">
        <f aca="false">Sheet1_Original_Data!C30</f>
        <v>West</v>
      </c>
      <c r="D31" s="6" t="str">
        <f aca="false">Sheet1_Original_Data!D30</f>
        <v>Mall</v>
      </c>
      <c r="E31" s="6" t="n">
        <f aca="false">Sheet1_Original_Data!E30</f>
        <v>55270.52</v>
      </c>
      <c r="F31" s="6" t="n">
        <f aca="false">Sheet1_Original_Data!F30</f>
        <v>9315</v>
      </c>
      <c r="G31" s="6" t="n">
        <f aca="false">Sheet1_Original_Data!G30</f>
        <v>0.169</v>
      </c>
      <c r="H31" s="6" t="n">
        <f aca="false">Sheet1_Original_Data!H30</f>
        <v>23</v>
      </c>
      <c r="I31" s="6" t="n">
        <f aca="false">Sheet1_Original_Data!I30</f>
        <v>91.9</v>
      </c>
      <c r="J31" s="6" t="n">
        <f aca="false">Sheet1_Original_Data!J30</f>
        <v>4.94</v>
      </c>
      <c r="K31" s="6" t="n">
        <f aca="false">Sheet1_Original_Data!K30</f>
        <v>0</v>
      </c>
      <c r="L31" s="6" t="n">
        <f aca="false">Sheet1_Original_Data!L30</f>
        <v>4</v>
      </c>
      <c r="M31" s="6" t="n">
        <f aca="false">Sheet1_Original_Data!M30</f>
        <v>783672.82</v>
      </c>
      <c r="N31" s="6" t="n">
        <f aca="false">Sheet1_Original_Data!N30</f>
        <v>112577.14</v>
      </c>
      <c r="O31" s="4" t="n">
        <f aca="false">IF(Sheet1_Original_Data!J30="",MEDIAN(Sheet1_Original_Data!$J$4:$J$323),Sheet1_Original_Data!J30)</f>
        <v>4.94</v>
      </c>
      <c r="P31" s="4" t="n">
        <f aca="false">IF(Sheet1_Original_Data!L30="",MEDIAN(Sheet1_Original_Data!$L$4:$L$323),Sheet1_Original_Data!L30)</f>
        <v>4</v>
      </c>
    </row>
    <row r="32" customFormat="false" ht="15" hidden="false" customHeight="false" outlineLevel="0" collapsed="false">
      <c r="A32" s="6" t="str">
        <f aca="false">Sheet1_Original_Data!A31</f>
        <v>STR-1007</v>
      </c>
      <c r="B32" s="6" t="str">
        <f aca="false">Sheet1_Original_Data!B31</f>
        <v>2025-04-01</v>
      </c>
      <c r="C32" s="6" t="str">
        <f aca="false">Sheet1_Original_Data!C31</f>
        <v>West</v>
      </c>
      <c r="D32" s="6" t="str">
        <f aca="false">Sheet1_Original_Data!D31</f>
        <v>Mall</v>
      </c>
      <c r="E32" s="6" t="n">
        <f aca="false">Sheet1_Original_Data!E31</f>
        <v>52715.1</v>
      </c>
      <c r="F32" s="6" t="n">
        <f aca="false">Sheet1_Original_Data!F31</f>
        <v>7223</v>
      </c>
      <c r="G32" s="6" t="n">
        <f aca="false">Sheet1_Original_Data!G31</f>
        <v>0.122</v>
      </c>
      <c r="H32" s="6" t="n">
        <f aca="false">Sheet1_Original_Data!H31</f>
        <v>16</v>
      </c>
      <c r="I32" s="6" t="n">
        <f aca="false">Sheet1_Original_Data!I31</f>
        <v>84.2</v>
      </c>
      <c r="J32" s="6" t="n">
        <f aca="false">Sheet1_Original_Data!J31</f>
        <v>16.15</v>
      </c>
      <c r="K32" s="6" t="n">
        <f aca="false">Sheet1_Original_Data!K31</f>
        <v>0</v>
      </c>
      <c r="L32" s="6" t="n">
        <f aca="false">Sheet1_Original_Data!L31</f>
        <v>3.7</v>
      </c>
      <c r="M32" s="6" t="n">
        <f aca="false">Sheet1_Original_Data!M31</f>
        <v>701641.97</v>
      </c>
      <c r="N32" s="6" t="n">
        <f aca="false">Sheet1_Original_Data!N31</f>
        <v>106111.86</v>
      </c>
      <c r="O32" s="4" t="n">
        <f aca="false">IF(Sheet1_Original_Data!J31="",MEDIAN(Sheet1_Original_Data!$J$4:$J$323),Sheet1_Original_Data!J31)</f>
        <v>16.15</v>
      </c>
      <c r="P32" s="4" t="n">
        <f aca="false">IF(Sheet1_Original_Data!L31="",MEDIAN(Sheet1_Original_Data!$L$4:$L$323),Sheet1_Original_Data!L31)</f>
        <v>3.7</v>
      </c>
    </row>
    <row r="33" customFormat="false" ht="15" hidden="false" customHeight="false" outlineLevel="0" collapsed="false">
      <c r="A33" s="6" t="str">
        <f aca="false">Sheet1_Original_Data!A32</f>
        <v>STR-1008</v>
      </c>
      <c r="B33" s="6" t="str">
        <f aca="false">Sheet1_Original_Data!B32</f>
        <v>2025-01-01</v>
      </c>
      <c r="C33" s="6" t="str">
        <f aca="false">Sheet1_Original_Data!C32</f>
        <v>East</v>
      </c>
      <c r="D33" s="6" t="str">
        <f aca="false">Sheet1_Original_Data!D32</f>
        <v>Residential</v>
      </c>
      <c r="E33" s="6" t="n">
        <f aca="false">Sheet1_Original_Data!E32</f>
        <v>68600.62</v>
      </c>
      <c r="F33" s="6" t="n">
        <f aca="false">Sheet1_Original_Data!F32</f>
        <v>3988</v>
      </c>
      <c r="G33" s="6" t="n">
        <f aca="false">Sheet1_Original_Data!G32</f>
        <v>0.124</v>
      </c>
      <c r="H33" s="6" t="n">
        <f aca="false">Sheet1_Original_Data!H32</f>
        <v>11</v>
      </c>
      <c r="I33" s="6" t="n">
        <f aca="false">Sheet1_Original_Data!I32</f>
        <v>85</v>
      </c>
      <c r="J33" s="6" t="n">
        <f aca="false">Sheet1_Original_Data!J32</f>
        <v>0.48</v>
      </c>
      <c r="K33" s="6" t="n">
        <f aca="false">Sheet1_Original_Data!K32</f>
        <v>0</v>
      </c>
      <c r="L33" s="6" t="n">
        <f aca="false">Sheet1_Original_Data!L32</f>
        <v>3.6</v>
      </c>
      <c r="M33" s="6" t="n">
        <f aca="false">Sheet1_Original_Data!M32</f>
        <v>511844.41</v>
      </c>
      <c r="N33" s="6" t="n">
        <f aca="false">Sheet1_Original_Data!N32</f>
        <v>72774.44</v>
      </c>
      <c r="O33" s="4" t="n">
        <f aca="false">IF(Sheet1_Original_Data!J32="",MEDIAN(Sheet1_Original_Data!$J$4:$J$323),Sheet1_Original_Data!J32)</f>
        <v>0.48</v>
      </c>
      <c r="P33" s="4" t="n">
        <f aca="false">IF(Sheet1_Original_Data!L32="",MEDIAN(Sheet1_Original_Data!$L$4:$L$323),Sheet1_Original_Data!L32)</f>
        <v>3.6</v>
      </c>
    </row>
    <row r="34" customFormat="false" ht="15" hidden="false" customHeight="false" outlineLevel="0" collapsed="false">
      <c r="A34" s="6" t="str">
        <f aca="false">Sheet1_Original_Data!A33</f>
        <v>STR-1008</v>
      </c>
      <c r="B34" s="6" t="str">
        <f aca="false">Sheet1_Original_Data!B33</f>
        <v>2025-02-01</v>
      </c>
      <c r="C34" s="6" t="str">
        <f aca="false">Sheet1_Original_Data!C33</f>
        <v>East</v>
      </c>
      <c r="D34" s="6" t="str">
        <f aca="false">Sheet1_Original_Data!D33</f>
        <v>Residential</v>
      </c>
      <c r="E34" s="6" t="n">
        <f aca="false">Sheet1_Original_Data!E33</f>
        <v>63176.73</v>
      </c>
      <c r="F34" s="6" t="n">
        <f aca="false">Sheet1_Original_Data!F33</f>
        <v>2390</v>
      </c>
      <c r="G34" s="6" t="n">
        <f aca="false">Sheet1_Original_Data!G33</f>
        <v>0.216</v>
      </c>
      <c r="H34" s="6" t="n">
        <f aca="false">Sheet1_Original_Data!H33</f>
        <v>9</v>
      </c>
      <c r="I34" s="6" t="n">
        <f aca="false">Sheet1_Original_Data!I33</f>
        <v>87.5</v>
      </c>
      <c r="J34" s="6" t="n">
        <f aca="false">Sheet1_Original_Data!J33</f>
        <v>0.31</v>
      </c>
      <c r="K34" s="6" t="n">
        <f aca="false">Sheet1_Original_Data!K33</f>
        <v>0</v>
      </c>
      <c r="L34" s="6" t="n">
        <f aca="false">Sheet1_Original_Data!L33</f>
        <v>3.1</v>
      </c>
      <c r="M34" s="6" t="n">
        <f aca="false">Sheet1_Original_Data!M33</f>
        <v>537383.79</v>
      </c>
      <c r="N34" s="6" t="n">
        <f aca="false">Sheet1_Original_Data!N33</f>
        <v>63773.27</v>
      </c>
      <c r="O34" s="4" t="n">
        <f aca="false">IF(Sheet1_Original_Data!J33="",MEDIAN(Sheet1_Original_Data!$J$4:$J$323),Sheet1_Original_Data!J33)</f>
        <v>0.31</v>
      </c>
      <c r="P34" s="4" t="n">
        <f aca="false">IF(Sheet1_Original_Data!L33="",MEDIAN(Sheet1_Original_Data!$L$4:$L$323),Sheet1_Original_Data!L33)</f>
        <v>3.1</v>
      </c>
    </row>
    <row r="35" customFormat="false" ht="15" hidden="false" customHeight="false" outlineLevel="0" collapsed="false">
      <c r="A35" s="6" t="str">
        <f aca="false">Sheet1_Original_Data!A34</f>
        <v>STR-1008</v>
      </c>
      <c r="B35" s="6" t="str">
        <f aca="false">Sheet1_Original_Data!B34</f>
        <v>2025-03-01</v>
      </c>
      <c r="C35" s="6" t="str">
        <f aca="false">Sheet1_Original_Data!C34</f>
        <v>East</v>
      </c>
      <c r="D35" s="6" t="str">
        <f aca="false">Sheet1_Original_Data!D34</f>
        <v>Residential</v>
      </c>
      <c r="E35" s="6" t="n">
        <f aca="false">Sheet1_Original_Data!E34</f>
        <v>44970.08</v>
      </c>
      <c r="F35" s="6" t="n">
        <f aca="false">Sheet1_Original_Data!F34</f>
        <v>2471</v>
      </c>
      <c r="G35" s="6" t="n">
        <f aca="false">Sheet1_Original_Data!G34</f>
        <v>0.136</v>
      </c>
      <c r="H35" s="6" t="n">
        <f aca="false">Sheet1_Original_Data!H34</f>
        <v>11</v>
      </c>
      <c r="I35" s="6" t="n">
        <f aca="false">Sheet1_Original_Data!I34</f>
        <v>87.6</v>
      </c>
      <c r="J35" s="6" t="n">
        <f aca="false">Sheet1_Original_Data!J34</f>
        <v>3.01</v>
      </c>
      <c r="K35" s="6" t="n">
        <f aca="false">Sheet1_Original_Data!K34</f>
        <v>1</v>
      </c>
      <c r="L35" s="6" t="n">
        <f aca="false">Sheet1_Original_Data!L34</f>
        <v>3.7</v>
      </c>
      <c r="M35" s="6" t="n">
        <f aca="false">Sheet1_Original_Data!M34</f>
        <v>500173.02</v>
      </c>
      <c r="N35" s="6" t="n">
        <f aca="false">Sheet1_Original_Data!N34</f>
        <v>70982.05</v>
      </c>
      <c r="O35" s="4" t="n">
        <f aca="false">IF(Sheet1_Original_Data!J34="",MEDIAN(Sheet1_Original_Data!$J$4:$J$323),Sheet1_Original_Data!J34)</f>
        <v>3.01</v>
      </c>
      <c r="P35" s="4" t="n">
        <f aca="false">IF(Sheet1_Original_Data!L34="",MEDIAN(Sheet1_Original_Data!$L$4:$L$323),Sheet1_Original_Data!L34)</f>
        <v>3.7</v>
      </c>
    </row>
    <row r="36" customFormat="false" ht="15" hidden="false" customHeight="false" outlineLevel="0" collapsed="false">
      <c r="A36" s="6" t="str">
        <f aca="false">Sheet1_Original_Data!A35</f>
        <v>STR-1008</v>
      </c>
      <c r="B36" s="6" t="str">
        <f aca="false">Sheet1_Original_Data!B35</f>
        <v>2025-04-01</v>
      </c>
      <c r="C36" s="6" t="str">
        <f aca="false">Sheet1_Original_Data!C35</f>
        <v>East</v>
      </c>
      <c r="D36" s="6" t="str">
        <f aca="false">Sheet1_Original_Data!D35</f>
        <v>Residential</v>
      </c>
      <c r="E36" s="6" t="n">
        <f aca="false">Sheet1_Original_Data!E35</f>
        <v>69816.35</v>
      </c>
      <c r="F36" s="6" t="n">
        <f aca="false">Sheet1_Original_Data!F35</f>
        <v>971</v>
      </c>
      <c r="G36" s="6" t="n">
        <f aca="false">Sheet1_Original_Data!G35</f>
        <v>0.168</v>
      </c>
      <c r="H36" s="6" t="n">
        <f aca="false">Sheet1_Original_Data!H35</f>
        <v>5</v>
      </c>
      <c r="I36" s="6" t="n">
        <f aca="false">Sheet1_Original_Data!I35</f>
        <v>89.9</v>
      </c>
      <c r="J36" s="6" t="n">
        <f aca="false">Sheet1_Original_Data!J35</f>
        <v>12.15</v>
      </c>
      <c r="K36" s="6" t="n">
        <f aca="false">Sheet1_Original_Data!K35</f>
        <v>0</v>
      </c>
      <c r="L36" s="6" t="n">
        <f aca="false">Sheet1_Original_Data!L35</f>
        <v>3.6</v>
      </c>
      <c r="M36" s="6" t="n">
        <f aca="false">Sheet1_Original_Data!M35</f>
        <v>427917.38</v>
      </c>
      <c r="N36" s="6" t="n">
        <f aca="false">Sheet1_Original_Data!N35</f>
        <v>81824.31</v>
      </c>
      <c r="O36" s="4" t="n">
        <f aca="false">IF(Sheet1_Original_Data!J35="",MEDIAN(Sheet1_Original_Data!$J$4:$J$323),Sheet1_Original_Data!J35)</f>
        <v>12.15</v>
      </c>
      <c r="P36" s="4" t="n">
        <f aca="false">IF(Sheet1_Original_Data!L35="",MEDIAN(Sheet1_Original_Data!$L$4:$L$323),Sheet1_Original_Data!L35)</f>
        <v>3.6</v>
      </c>
    </row>
    <row r="37" customFormat="false" ht="15" hidden="false" customHeight="false" outlineLevel="0" collapsed="false">
      <c r="A37" s="6" t="str">
        <f aca="false">Sheet1_Original_Data!A36</f>
        <v>STR-1009</v>
      </c>
      <c r="B37" s="6" t="str">
        <f aca="false">Sheet1_Original_Data!B36</f>
        <v>2025-01-01</v>
      </c>
      <c r="C37" s="6" t="str">
        <f aca="false">Sheet1_Original_Data!C36</f>
        <v>North</v>
      </c>
      <c r="D37" s="6" t="str">
        <f aca="false">Sheet1_Original_Data!D36</f>
        <v>Residential</v>
      </c>
      <c r="E37" s="6" t="n">
        <f aca="false">Sheet1_Original_Data!E36</f>
        <v>54597.83</v>
      </c>
      <c r="F37" s="6" t="n">
        <f aca="false">Sheet1_Original_Data!F36</f>
        <v>9429</v>
      </c>
      <c r="G37" s="6" t="n">
        <f aca="false">Sheet1_Original_Data!G36</f>
        <v>0.188</v>
      </c>
      <c r="H37" s="6" t="n">
        <f aca="false">Sheet1_Original_Data!H36</f>
        <v>21</v>
      </c>
      <c r="I37" s="6" t="n">
        <f aca="false">Sheet1_Original_Data!I36</f>
        <v>83.3</v>
      </c>
      <c r="J37" s="6" t="n">
        <f aca="false">Sheet1_Original_Data!J36</f>
        <v>11.71</v>
      </c>
      <c r="K37" s="6" t="n">
        <f aca="false">Sheet1_Original_Data!K36</f>
        <v>0</v>
      </c>
      <c r="L37" s="6" t="n">
        <f aca="false">Sheet1_Original_Data!L36</f>
        <v>4.2</v>
      </c>
      <c r="M37" s="6" t="n">
        <f aca="false">Sheet1_Original_Data!M36</f>
        <v>641865.03</v>
      </c>
      <c r="N37" s="6" t="n">
        <f aca="false">Sheet1_Original_Data!N36</f>
        <v>81342.58</v>
      </c>
      <c r="O37" s="4" t="n">
        <f aca="false">IF(Sheet1_Original_Data!J36="",MEDIAN(Sheet1_Original_Data!$J$4:$J$323),Sheet1_Original_Data!J36)</f>
        <v>11.71</v>
      </c>
      <c r="P37" s="4" t="n">
        <f aca="false">IF(Sheet1_Original_Data!L36="",MEDIAN(Sheet1_Original_Data!$L$4:$L$323),Sheet1_Original_Data!L36)</f>
        <v>4.2</v>
      </c>
    </row>
    <row r="38" customFormat="false" ht="15" hidden="false" customHeight="false" outlineLevel="0" collapsed="false">
      <c r="A38" s="6" t="str">
        <f aca="false">Sheet1_Original_Data!A37</f>
        <v>STR-1009</v>
      </c>
      <c r="B38" s="6" t="str">
        <f aca="false">Sheet1_Original_Data!B37</f>
        <v>2025-02-01</v>
      </c>
      <c r="C38" s="6" t="str">
        <f aca="false">Sheet1_Original_Data!C37</f>
        <v>North</v>
      </c>
      <c r="D38" s="6" t="str">
        <f aca="false">Sheet1_Original_Data!D37</f>
        <v>Residential</v>
      </c>
      <c r="E38" s="6" t="n">
        <f aca="false">Sheet1_Original_Data!E37</f>
        <v>73771.91</v>
      </c>
      <c r="F38" s="6" t="n">
        <f aca="false">Sheet1_Original_Data!F37</f>
        <v>11695</v>
      </c>
      <c r="G38" s="6" t="n">
        <f aca="false">Sheet1_Original_Data!G37</f>
        <v>0.07</v>
      </c>
      <c r="H38" s="6" t="n">
        <f aca="false">Sheet1_Original_Data!H37</f>
        <v>25</v>
      </c>
      <c r="I38" s="6" t="n">
        <f aca="false">Sheet1_Original_Data!I37</f>
        <v>84.7</v>
      </c>
      <c r="J38" s="6" t="n">
        <f aca="false">Sheet1_Original_Data!J37</f>
        <v>0.62</v>
      </c>
      <c r="K38" s="6" t="n">
        <f aca="false">Sheet1_Original_Data!K37</f>
        <v>0</v>
      </c>
      <c r="L38" s="6" t="n">
        <f aca="false">Sheet1_Original_Data!L37</f>
        <v>0</v>
      </c>
      <c r="M38" s="6" t="n">
        <f aca="false">Sheet1_Original_Data!M37</f>
        <v>799477.76</v>
      </c>
      <c r="N38" s="6" t="n">
        <f aca="false">Sheet1_Original_Data!N37</f>
        <v>164974.41</v>
      </c>
      <c r="O38" s="4" t="n">
        <f aca="false">IF(Sheet1_Original_Data!J37="",MEDIAN(Sheet1_Original_Data!$J$4:$J$323),Sheet1_Original_Data!J37)</f>
        <v>0.62</v>
      </c>
      <c r="P38" s="4" t="n">
        <f aca="false">IF(Sheet1_Original_Data!L37="",MEDIAN(Sheet1_Original_Data!$L$4:$L$323),Sheet1_Original_Data!L37)</f>
        <v>3.9</v>
      </c>
    </row>
    <row r="39" customFormat="false" ht="15" hidden="false" customHeight="false" outlineLevel="0" collapsed="false">
      <c r="A39" s="6" t="str">
        <f aca="false">Sheet1_Original_Data!A38</f>
        <v>STR-1009</v>
      </c>
      <c r="B39" s="6" t="str">
        <f aca="false">Sheet1_Original_Data!B38</f>
        <v>2025-03-01</v>
      </c>
      <c r="C39" s="6" t="str">
        <f aca="false">Sheet1_Original_Data!C38</f>
        <v>North</v>
      </c>
      <c r="D39" s="6" t="str">
        <f aca="false">Sheet1_Original_Data!D38</f>
        <v>Residential</v>
      </c>
      <c r="E39" s="6" t="n">
        <f aca="false">Sheet1_Original_Data!E38</f>
        <v>74413.88</v>
      </c>
      <c r="F39" s="6" t="n">
        <f aca="false">Sheet1_Original_Data!F38</f>
        <v>9449</v>
      </c>
      <c r="G39" s="6" t="n">
        <f aca="false">Sheet1_Original_Data!G38</f>
        <v>0.039</v>
      </c>
      <c r="H39" s="6" t="n">
        <f aca="false">Sheet1_Original_Data!H38</f>
        <v>23</v>
      </c>
      <c r="I39" s="6" t="n">
        <f aca="false">Sheet1_Original_Data!I38</f>
        <v>92.1</v>
      </c>
      <c r="J39" s="6" t="n">
        <f aca="false">Sheet1_Original_Data!J38</f>
        <v>2.12</v>
      </c>
      <c r="K39" s="6" t="n">
        <f aca="false">Sheet1_Original_Data!K38</f>
        <v>0</v>
      </c>
      <c r="L39" s="6" t="n">
        <f aca="false">Sheet1_Original_Data!L38</f>
        <v>3.5</v>
      </c>
      <c r="M39" s="6" t="n">
        <f aca="false">Sheet1_Original_Data!M38</f>
        <v>798952.17</v>
      </c>
      <c r="N39" s="6" t="n">
        <f aca="false">Sheet1_Original_Data!N38</f>
        <v>161499.04</v>
      </c>
      <c r="O39" s="4" t="n">
        <f aca="false">IF(Sheet1_Original_Data!J38="",MEDIAN(Sheet1_Original_Data!$J$4:$J$323),Sheet1_Original_Data!J38)</f>
        <v>2.12</v>
      </c>
      <c r="P39" s="4" t="n">
        <f aca="false">IF(Sheet1_Original_Data!L38="",MEDIAN(Sheet1_Original_Data!$L$4:$L$323),Sheet1_Original_Data!L38)</f>
        <v>3.5</v>
      </c>
    </row>
    <row r="40" customFormat="false" ht="15" hidden="false" customHeight="false" outlineLevel="0" collapsed="false">
      <c r="A40" s="6" t="str">
        <f aca="false">Sheet1_Original_Data!A39</f>
        <v>STR-1009</v>
      </c>
      <c r="B40" s="6" t="str">
        <f aca="false">Sheet1_Original_Data!B39</f>
        <v>2025-04-01</v>
      </c>
      <c r="C40" s="6" t="str">
        <f aca="false">Sheet1_Original_Data!C39</f>
        <v>North</v>
      </c>
      <c r="D40" s="6" t="str">
        <f aca="false">Sheet1_Original_Data!D39</f>
        <v>Residential</v>
      </c>
      <c r="E40" s="6" t="n">
        <f aca="false">Sheet1_Original_Data!E39</f>
        <v>52483.77</v>
      </c>
      <c r="F40" s="6" t="n">
        <f aca="false">Sheet1_Original_Data!F39</f>
        <v>10453</v>
      </c>
      <c r="G40" s="6" t="n">
        <f aca="false">Sheet1_Original_Data!G39</f>
        <v>0.247</v>
      </c>
      <c r="H40" s="6" t="n">
        <f aca="false">Sheet1_Original_Data!H39</f>
        <v>25</v>
      </c>
      <c r="I40" s="6" t="n">
        <f aca="false">Sheet1_Original_Data!I39</f>
        <v>99</v>
      </c>
      <c r="J40" s="6" t="n">
        <f aca="false">Sheet1_Original_Data!J39</f>
        <v>6.31</v>
      </c>
      <c r="K40" s="6" t="n">
        <f aca="false">Sheet1_Original_Data!K39</f>
        <v>0</v>
      </c>
      <c r="L40" s="6" t="n">
        <f aca="false">Sheet1_Original_Data!L39</f>
        <v>3.6</v>
      </c>
      <c r="M40" s="6" t="n">
        <f aca="false">Sheet1_Original_Data!M39</f>
        <v>800979.78</v>
      </c>
      <c r="N40" s="6" t="n">
        <f aca="false">Sheet1_Original_Data!N39</f>
        <v>149242.27</v>
      </c>
      <c r="O40" s="4" t="n">
        <f aca="false">IF(Sheet1_Original_Data!J39="",MEDIAN(Sheet1_Original_Data!$J$4:$J$323),Sheet1_Original_Data!J39)</f>
        <v>6.31</v>
      </c>
      <c r="P40" s="4" t="n">
        <f aca="false">IF(Sheet1_Original_Data!L39="",MEDIAN(Sheet1_Original_Data!$L$4:$L$323),Sheet1_Original_Data!L39)</f>
        <v>3.6</v>
      </c>
    </row>
    <row r="41" customFormat="false" ht="15" hidden="false" customHeight="false" outlineLevel="0" collapsed="false">
      <c r="A41" s="6" t="str">
        <f aca="false">Sheet1_Original_Data!A40</f>
        <v>STR-1010</v>
      </c>
      <c r="B41" s="6" t="str">
        <f aca="false">Sheet1_Original_Data!B40</f>
        <v>2025-01-01</v>
      </c>
      <c r="C41" s="6" t="str">
        <f aca="false">Sheet1_Original_Data!C40</f>
        <v>North</v>
      </c>
      <c r="D41" s="6" t="str">
        <f aca="false">Sheet1_Original_Data!D40</f>
        <v>Mall</v>
      </c>
      <c r="E41" s="6" t="n">
        <f aca="false">Sheet1_Original_Data!E40</f>
        <v>75269.87</v>
      </c>
      <c r="F41" s="6" t="n">
        <f aca="false">Sheet1_Original_Data!F40</f>
        <v>8838</v>
      </c>
      <c r="G41" s="6" t="n">
        <f aca="false">Sheet1_Original_Data!G40</f>
        <v>0.092</v>
      </c>
      <c r="H41" s="6" t="n">
        <f aca="false">Sheet1_Original_Data!H40</f>
        <v>21</v>
      </c>
      <c r="I41" s="6" t="n">
        <f aca="false">Sheet1_Original_Data!I40</f>
        <v>83.1</v>
      </c>
      <c r="J41" s="6" t="n">
        <f aca="false">Sheet1_Original_Data!J40</f>
        <v>9.56</v>
      </c>
      <c r="K41" s="6" t="n">
        <f aca="false">Sheet1_Original_Data!K40</f>
        <v>1</v>
      </c>
      <c r="L41" s="6" t="n">
        <f aca="false">Sheet1_Original_Data!L40</f>
        <v>4.2</v>
      </c>
      <c r="M41" s="6" t="n">
        <f aca="false">Sheet1_Original_Data!M40</f>
        <v>820593.93</v>
      </c>
      <c r="N41" s="6" t="n">
        <f aca="false">Sheet1_Original_Data!N40</f>
        <v>115860.06</v>
      </c>
      <c r="O41" s="4" t="n">
        <f aca="false">IF(Sheet1_Original_Data!J40="",MEDIAN(Sheet1_Original_Data!$J$4:$J$323),Sheet1_Original_Data!J40)</f>
        <v>9.56</v>
      </c>
      <c r="P41" s="4" t="n">
        <f aca="false">IF(Sheet1_Original_Data!L40="",MEDIAN(Sheet1_Original_Data!$L$4:$L$323),Sheet1_Original_Data!L40)</f>
        <v>4.2</v>
      </c>
    </row>
    <row r="42" customFormat="false" ht="15" hidden="false" customHeight="false" outlineLevel="0" collapsed="false">
      <c r="A42" s="6" t="str">
        <f aca="false">Sheet1_Original_Data!A41</f>
        <v>STR-1010</v>
      </c>
      <c r="B42" s="6" t="str">
        <f aca="false">Sheet1_Original_Data!B41</f>
        <v>2025-02-01</v>
      </c>
      <c r="C42" s="6" t="str">
        <f aca="false">Sheet1_Original_Data!C41</f>
        <v>North</v>
      </c>
      <c r="D42" s="6" t="str">
        <f aca="false">Sheet1_Original_Data!D41</f>
        <v>Mall</v>
      </c>
      <c r="E42" s="6" t="n">
        <f aca="false">Sheet1_Original_Data!E41</f>
        <v>61245.41</v>
      </c>
      <c r="F42" s="6" t="n">
        <f aca="false">Sheet1_Original_Data!F41</f>
        <v>8156</v>
      </c>
      <c r="G42" s="6" t="n">
        <f aca="false">Sheet1_Original_Data!G41</f>
        <v>0.156</v>
      </c>
      <c r="H42" s="6" t="n">
        <f aca="false">Sheet1_Original_Data!H41</f>
        <v>19</v>
      </c>
      <c r="I42" s="6" t="n">
        <f aca="false">Sheet1_Original_Data!I41</f>
        <v>92.9</v>
      </c>
      <c r="J42" s="6" t="n">
        <f aca="false">Sheet1_Original_Data!J41</f>
        <v>9.05</v>
      </c>
      <c r="K42" s="6" t="n">
        <f aca="false">Sheet1_Original_Data!K41</f>
        <v>0</v>
      </c>
      <c r="L42" s="6" t="n">
        <f aca="false">Sheet1_Original_Data!L41</f>
        <v>3.8</v>
      </c>
      <c r="M42" s="6" t="n">
        <f aca="false">Sheet1_Original_Data!M41</f>
        <v>718330.53</v>
      </c>
      <c r="N42" s="6" t="n">
        <f aca="false">Sheet1_Original_Data!N41</f>
        <v>93247.9</v>
      </c>
      <c r="O42" s="4" t="n">
        <f aca="false">IF(Sheet1_Original_Data!J41="",MEDIAN(Sheet1_Original_Data!$J$4:$J$323),Sheet1_Original_Data!J41)</f>
        <v>9.05</v>
      </c>
      <c r="P42" s="4" t="n">
        <f aca="false">IF(Sheet1_Original_Data!L41="",MEDIAN(Sheet1_Original_Data!$L$4:$L$323),Sheet1_Original_Data!L41)</f>
        <v>3.8</v>
      </c>
    </row>
    <row r="43" customFormat="false" ht="15" hidden="false" customHeight="false" outlineLevel="0" collapsed="false">
      <c r="A43" s="6" t="str">
        <f aca="false">Sheet1_Original_Data!A42</f>
        <v>STR-1010</v>
      </c>
      <c r="B43" s="6" t="str">
        <f aca="false">Sheet1_Original_Data!B42</f>
        <v>2025-03-01</v>
      </c>
      <c r="C43" s="6" t="str">
        <f aca="false">Sheet1_Original_Data!C42</f>
        <v>North</v>
      </c>
      <c r="D43" s="6" t="str">
        <f aca="false">Sheet1_Original_Data!D42</f>
        <v>Mall</v>
      </c>
      <c r="E43" s="6" t="n">
        <f aca="false">Sheet1_Original_Data!E42</f>
        <v>93381.26</v>
      </c>
      <c r="F43" s="6" t="n">
        <f aca="false">Sheet1_Original_Data!F42</f>
        <v>7562</v>
      </c>
      <c r="G43" s="6" t="n">
        <f aca="false">Sheet1_Original_Data!G42</f>
        <v>0.198</v>
      </c>
      <c r="H43" s="6" t="n">
        <f aca="false">Sheet1_Original_Data!H42</f>
        <v>19</v>
      </c>
      <c r="I43" s="6" t="n">
        <f aca="false">Sheet1_Original_Data!I42</f>
        <v>82.9</v>
      </c>
      <c r="J43" s="6" t="n">
        <f aca="false">Sheet1_Original_Data!J42</f>
        <v>5.05</v>
      </c>
      <c r="K43" s="6" t="n">
        <f aca="false">Sheet1_Original_Data!K42</f>
        <v>0</v>
      </c>
      <c r="L43" s="6" t="n">
        <f aca="false">Sheet1_Original_Data!L42</f>
        <v>4</v>
      </c>
      <c r="M43" s="6" t="n">
        <f aca="false">Sheet1_Original_Data!M42</f>
        <v>736633.4</v>
      </c>
      <c r="N43" s="6" t="n">
        <f aca="false">Sheet1_Original_Data!N42</f>
        <v>115654.66</v>
      </c>
      <c r="O43" s="4" t="n">
        <f aca="false">IF(Sheet1_Original_Data!J42="",MEDIAN(Sheet1_Original_Data!$J$4:$J$323),Sheet1_Original_Data!J42)</f>
        <v>5.05</v>
      </c>
      <c r="P43" s="4" t="n">
        <f aca="false">IF(Sheet1_Original_Data!L42="",MEDIAN(Sheet1_Original_Data!$L$4:$L$323),Sheet1_Original_Data!L42)</f>
        <v>4</v>
      </c>
    </row>
    <row r="44" customFormat="false" ht="15" hidden="false" customHeight="false" outlineLevel="0" collapsed="false">
      <c r="A44" s="6" t="str">
        <f aca="false">Sheet1_Original_Data!A43</f>
        <v>STR-1010</v>
      </c>
      <c r="B44" s="6" t="str">
        <f aca="false">Sheet1_Original_Data!B43</f>
        <v>2025-04-01</v>
      </c>
      <c r="C44" s="6" t="str">
        <f aca="false">Sheet1_Original_Data!C43</f>
        <v>North</v>
      </c>
      <c r="D44" s="6" t="str">
        <f aca="false">Sheet1_Original_Data!D43</f>
        <v>Mall</v>
      </c>
      <c r="E44" s="6" t="n">
        <f aca="false">Sheet1_Original_Data!E43</f>
        <v>65012.19</v>
      </c>
      <c r="F44" s="6" t="n">
        <f aca="false">Sheet1_Original_Data!F43</f>
        <v>9598</v>
      </c>
      <c r="G44" s="6" t="n">
        <f aca="false">Sheet1_Original_Data!G43</f>
        <v>0.085</v>
      </c>
      <c r="H44" s="6" t="n">
        <f aca="false">Sheet1_Original_Data!H43</f>
        <v>24</v>
      </c>
      <c r="I44" s="6" t="n">
        <f aca="false">Sheet1_Original_Data!I43</f>
        <v>98.3</v>
      </c>
      <c r="J44" s="6" t="n">
        <f aca="false">Sheet1_Original_Data!J43</f>
        <v>0.89</v>
      </c>
      <c r="K44" s="6" t="n">
        <f aca="false">Sheet1_Original_Data!K43</f>
        <v>0</v>
      </c>
      <c r="L44" s="6" t="n">
        <f aca="false">Sheet1_Original_Data!L43</f>
        <v>3.8</v>
      </c>
      <c r="M44" s="6" t="n">
        <f aca="false">Sheet1_Original_Data!M43</f>
        <v>828623.85</v>
      </c>
      <c r="N44" s="6" t="n">
        <f aca="false">Sheet1_Original_Data!N43</f>
        <v>167320.52</v>
      </c>
      <c r="O44" s="4" t="n">
        <f aca="false">IF(Sheet1_Original_Data!J43="",MEDIAN(Sheet1_Original_Data!$J$4:$J$323),Sheet1_Original_Data!J43)</f>
        <v>0.89</v>
      </c>
      <c r="P44" s="4" t="n">
        <f aca="false">IF(Sheet1_Original_Data!L43="",MEDIAN(Sheet1_Original_Data!$L$4:$L$323),Sheet1_Original_Data!L43)</f>
        <v>3.8</v>
      </c>
    </row>
    <row r="45" customFormat="false" ht="15" hidden="false" customHeight="false" outlineLevel="0" collapsed="false">
      <c r="A45" s="6" t="str">
        <f aca="false">Sheet1_Original_Data!A44</f>
        <v>STR-1011</v>
      </c>
      <c r="B45" s="6" t="str">
        <f aca="false">Sheet1_Original_Data!B44</f>
        <v>2025-01-01</v>
      </c>
      <c r="C45" s="6" t="str">
        <f aca="false">Sheet1_Original_Data!C44</f>
        <v>East</v>
      </c>
      <c r="D45" s="6" t="str">
        <f aca="false">Sheet1_Original_Data!D44</f>
        <v>Mall</v>
      </c>
      <c r="E45" s="6" t="n">
        <f aca="false">Sheet1_Original_Data!E44</f>
        <v>40462.94</v>
      </c>
      <c r="F45" s="6" t="n">
        <f aca="false">Sheet1_Original_Data!F44</f>
        <v>3660</v>
      </c>
      <c r="G45" s="6" t="n">
        <f aca="false">Sheet1_Original_Data!G44</f>
        <v>0.218</v>
      </c>
      <c r="H45" s="6" t="n">
        <f aca="false">Sheet1_Original_Data!H44</f>
        <v>11</v>
      </c>
      <c r="I45" s="6" t="n">
        <f aca="false">Sheet1_Original_Data!I44</f>
        <v>95.2</v>
      </c>
      <c r="J45" s="6" t="n">
        <f aca="false">Sheet1_Original_Data!J44</f>
        <v>5.57</v>
      </c>
      <c r="K45" s="6" t="n">
        <f aca="false">Sheet1_Original_Data!K44</f>
        <v>0</v>
      </c>
      <c r="L45" s="6" t="n">
        <f aca="false">Sheet1_Original_Data!L44</f>
        <v>4.4</v>
      </c>
      <c r="M45" s="6" t="n">
        <f aca="false">Sheet1_Original_Data!M44</f>
        <v>592195.85</v>
      </c>
      <c r="N45" s="6" t="n">
        <f aca="false">Sheet1_Original_Data!N44</f>
        <v>92291.56</v>
      </c>
      <c r="O45" s="4" t="n">
        <f aca="false">IF(Sheet1_Original_Data!J44="",MEDIAN(Sheet1_Original_Data!$J$4:$J$323),Sheet1_Original_Data!J44)</f>
        <v>5.57</v>
      </c>
      <c r="P45" s="4" t="n">
        <f aca="false">IF(Sheet1_Original_Data!L44="",MEDIAN(Sheet1_Original_Data!$L$4:$L$323),Sheet1_Original_Data!L44)</f>
        <v>4.4</v>
      </c>
    </row>
    <row r="46" customFormat="false" ht="15" hidden="false" customHeight="false" outlineLevel="0" collapsed="false">
      <c r="A46" s="6" t="str">
        <f aca="false">Sheet1_Original_Data!A45</f>
        <v>STR-1011</v>
      </c>
      <c r="B46" s="6" t="str">
        <f aca="false">Sheet1_Original_Data!B45</f>
        <v>2025-02-01</v>
      </c>
      <c r="C46" s="6" t="str">
        <f aca="false">Sheet1_Original_Data!C45</f>
        <v>East</v>
      </c>
      <c r="D46" s="6" t="str">
        <f aca="false">Sheet1_Original_Data!D45</f>
        <v>Mall</v>
      </c>
      <c r="E46" s="6" t="n">
        <f aca="false">Sheet1_Original_Data!E45</f>
        <v>46123.88</v>
      </c>
      <c r="F46" s="6" t="n">
        <f aca="false">Sheet1_Original_Data!F45</f>
        <v>3227</v>
      </c>
      <c r="G46" s="6" t="n">
        <f aca="false">Sheet1_Original_Data!G45</f>
        <v>0.143</v>
      </c>
      <c r="H46" s="6" t="n">
        <f aca="false">Sheet1_Original_Data!H45</f>
        <v>10</v>
      </c>
      <c r="I46" s="6" t="n">
        <f aca="false">Sheet1_Original_Data!I45</f>
        <v>75.4</v>
      </c>
      <c r="J46" s="6" t="n">
        <f aca="false">Sheet1_Original_Data!J45</f>
        <v>1.06</v>
      </c>
      <c r="K46" s="6" t="n">
        <f aca="false">Sheet1_Original_Data!K45</f>
        <v>0</v>
      </c>
      <c r="L46" s="6" t="n">
        <f aca="false">Sheet1_Original_Data!L45</f>
        <v>4.4</v>
      </c>
      <c r="M46" s="6" t="n">
        <f aca="false">Sheet1_Original_Data!M45</f>
        <v>532644.46</v>
      </c>
      <c r="N46" s="6" t="n">
        <f aca="false">Sheet1_Original_Data!N45</f>
        <v>60681.32</v>
      </c>
      <c r="O46" s="4" t="n">
        <f aca="false">IF(Sheet1_Original_Data!J45="",MEDIAN(Sheet1_Original_Data!$J$4:$J$323),Sheet1_Original_Data!J45)</f>
        <v>1.06</v>
      </c>
      <c r="P46" s="4" t="n">
        <f aca="false">IF(Sheet1_Original_Data!L45="",MEDIAN(Sheet1_Original_Data!$L$4:$L$323),Sheet1_Original_Data!L45)</f>
        <v>4.4</v>
      </c>
    </row>
    <row r="47" customFormat="false" ht="15" hidden="false" customHeight="false" outlineLevel="0" collapsed="false">
      <c r="A47" s="6" t="str">
        <f aca="false">Sheet1_Original_Data!A46</f>
        <v>STR-1011</v>
      </c>
      <c r="B47" s="6" t="str">
        <f aca="false">Sheet1_Original_Data!B46</f>
        <v>2025-03-01</v>
      </c>
      <c r="C47" s="6" t="str">
        <f aca="false">Sheet1_Original_Data!C46</f>
        <v>East</v>
      </c>
      <c r="D47" s="6" t="str">
        <f aca="false">Sheet1_Original_Data!D46</f>
        <v>Mall</v>
      </c>
      <c r="E47" s="6" t="n">
        <f aca="false">Sheet1_Original_Data!E46</f>
        <v>68077.54</v>
      </c>
      <c r="F47" s="6" t="n">
        <f aca="false">Sheet1_Original_Data!F46</f>
        <v>3360</v>
      </c>
      <c r="G47" s="6" t="n">
        <f aca="false">Sheet1_Original_Data!G46</f>
        <v>0.128</v>
      </c>
      <c r="H47" s="6" t="n">
        <f aca="false">Sheet1_Original_Data!H46</f>
        <v>14</v>
      </c>
      <c r="I47" s="6" t="n">
        <f aca="false">Sheet1_Original_Data!I46</f>
        <v>88.2</v>
      </c>
      <c r="J47" s="6" t="n">
        <f aca="false">Sheet1_Original_Data!J46</f>
        <v>1.24</v>
      </c>
      <c r="K47" s="6" t="n">
        <f aca="false">Sheet1_Original_Data!K46</f>
        <v>1</v>
      </c>
      <c r="L47" s="6" t="n">
        <f aca="false">Sheet1_Original_Data!L46</f>
        <v>4</v>
      </c>
      <c r="M47" s="6" t="n">
        <f aca="false">Sheet1_Original_Data!M46</f>
        <v>657429.18</v>
      </c>
      <c r="N47" s="6" t="n">
        <f aca="false">Sheet1_Original_Data!N46</f>
        <v>88919.74</v>
      </c>
      <c r="O47" s="4" t="n">
        <f aca="false">IF(Sheet1_Original_Data!J46="",MEDIAN(Sheet1_Original_Data!$J$4:$J$323),Sheet1_Original_Data!J46)</f>
        <v>1.24</v>
      </c>
      <c r="P47" s="4" t="n">
        <f aca="false">IF(Sheet1_Original_Data!L46="",MEDIAN(Sheet1_Original_Data!$L$4:$L$323),Sheet1_Original_Data!L46)</f>
        <v>4</v>
      </c>
    </row>
    <row r="48" customFormat="false" ht="15" hidden="false" customHeight="false" outlineLevel="0" collapsed="false">
      <c r="A48" s="6" t="str">
        <f aca="false">Sheet1_Original_Data!A47</f>
        <v>STR-1011</v>
      </c>
      <c r="B48" s="6" t="str">
        <f aca="false">Sheet1_Original_Data!B47</f>
        <v>2025-04-01</v>
      </c>
      <c r="C48" s="6" t="str">
        <f aca="false">Sheet1_Original_Data!C47</f>
        <v>East</v>
      </c>
      <c r="D48" s="6" t="str">
        <f aca="false">Sheet1_Original_Data!D47</f>
        <v>Mall</v>
      </c>
      <c r="E48" s="6" t="n">
        <f aca="false">Sheet1_Original_Data!E47</f>
        <v>64882.14</v>
      </c>
      <c r="F48" s="6" t="n">
        <f aca="false">Sheet1_Original_Data!F47</f>
        <v>3642</v>
      </c>
      <c r="G48" s="6" t="n">
        <f aca="false">Sheet1_Original_Data!G47</f>
        <v>0.019</v>
      </c>
      <c r="H48" s="6" t="n">
        <f aca="false">Sheet1_Original_Data!H47</f>
        <v>13</v>
      </c>
      <c r="I48" s="6" t="n">
        <f aca="false">Sheet1_Original_Data!I47</f>
        <v>87.8</v>
      </c>
      <c r="J48" s="6" t="n">
        <f aca="false">Sheet1_Original_Data!J47</f>
        <v>4.52</v>
      </c>
      <c r="K48" s="6" t="n">
        <f aca="false">Sheet1_Original_Data!K47</f>
        <v>0</v>
      </c>
      <c r="L48" s="6" t="n">
        <f aca="false">Sheet1_Original_Data!L47</f>
        <v>4.2</v>
      </c>
      <c r="M48" s="6" t="n">
        <f aca="false">Sheet1_Original_Data!M47</f>
        <v>605178</v>
      </c>
      <c r="N48" s="6" t="n">
        <f aca="false">Sheet1_Original_Data!N47</f>
        <v>106958.74</v>
      </c>
      <c r="O48" s="4" t="n">
        <f aca="false">IF(Sheet1_Original_Data!J47="",MEDIAN(Sheet1_Original_Data!$J$4:$J$323),Sheet1_Original_Data!J47)</f>
        <v>4.52</v>
      </c>
      <c r="P48" s="4" t="n">
        <f aca="false">IF(Sheet1_Original_Data!L47="",MEDIAN(Sheet1_Original_Data!$L$4:$L$323),Sheet1_Original_Data!L47)</f>
        <v>4.2</v>
      </c>
    </row>
    <row r="49" customFormat="false" ht="15" hidden="false" customHeight="false" outlineLevel="0" collapsed="false">
      <c r="A49" s="6" t="str">
        <f aca="false">Sheet1_Original_Data!A48</f>
        <v>STR-1012</v>
      </c>
      <c r="B49" s="6" t="str">
        <f aca="false">Sheet1_Original_Data!B48</f>
        <v>2025-01-01</v>
      </c>
      <c r="C49" s="6" t="str">
        <f aca="false">Sheet1_Original_Data!C48</f>
        <v>West</v>
      </c>
      <c r="D49" s="6" t="str">
        <f aca="false">Sheet1_Original_Data!D48</f>
        <v>Residential</v>
      </c>
      <c r="E49" s="6" t="n">
        <f aca="false">Sheet1_Original_Data!E48</f>
        <v>138855.51</v>
      </c>
      <c r="F49" s="6" t="n">
        <f aca="false">Sheet1_Original_Data!F48</f>
        <v>5145</v>
      </c>
      <c r="G49" s="6" t="n">
        <f aca="false">Sheet1_Original_Data!G48</f>
        <v>0.06</v>
      </c>
      <c r="H49" s="6" t="n">
        <f aca="false">Sheet1_Original_Data!H48</f>
        <v>17</v>
      </c>
      <c r="I49" s="6" t="n">
        <f aca="false">Sheet1_Original_Data!I48</f>
        <v>88.2</v>
      </c>
      <c r="J49" s="6" t="n">
        <f aca="false">Sheet1_Original_Data!J48</f>
        <v>9.58</v>
      </c>
      <c r="K49" s="6" t="n">
        <f aca="false">Sheet1_Original_Data!K48</f>
        <v>0</v>
      </c>
      <c r="L49" s="6" t="n">
        <f aca="false">Sheet1_Original_Data!L48</f>
        <v>3.2</v>
      </c>
      <c r="M49" s="6" t="n">
        <f aca="false">Sheet1_Original_Data!M48</f>
        <v>595467.6</v>
      </c>
      <c r="N49" s="6" t="n">
        <f aca="false">Sheet1_Original_Data!N48</f>
        <v>104276.46</v>
      </c>
      <c r="O49" s="4" t="n">
        <f aca="false">IF(Sheet1_Original_Data!J48="",MEDIAN(Sheet1_Original_Data!$J$4:$J$323),Sheet1_Original_Data!J48)</f>
        <v>9.58</v>
      </c>
      <c r="P49" s="4" t="n">
        <f aca="false">IF(Sheet1_Original_Data!L48="",MEDIAN(Sheet1_Original_Data!$L$4:$L$323),Sheet1_Original_Data!L48)</f>
        <v>3.2</v>
      </c>
    </row>
    <row r="50" customFormat="false" ht="15" hidden="false" customHeight="false" outlineLevel="0" collapsed="false">
      <c r="A50" s="6" t="str">
        <f aca="false">Sheet1_Original_Data!A49</f>
        <v>STR-1012</v>
      </c>
      <c r="B50" s="6" t="str">
        <f aca="false">Sheet1_Original_Data!B49</f>
        <v>2025-02-01</v>
      </c>
      <c r="C50" s="6" t="str">
        <f aca="false">Sheet1_Original_Data!C49</f>
        <v>West</v>
      </c>
      <c r="D50" s="6" t="str">
        <f aca="false">Sheet1_Original_Data!D49</f>
        <v>Residential</v>
      </c>
      <c r="E50" s="6" t="n">
        <f aca="false">Sheet1_Original_Data!E49</f>
        <v>63630.21</v>
      </c>
      <c r="F50" s="6" t="n">
        <f aca="false">Sheet1_Original_Data!F49</f>
        <v>4460</v>
      </c>
      <c r="G50" s="6" t="n">
        <f aca="false">Sheet1_Original_Data!G49</f>
        <v>0.235</v>
      </c>
      <c r="H50" s="6" t="n">
        <f aca="false">Sheet1_Original_Data!H49</f>
        <v>14</v>
      </c>
      <c r="I50" s="6" t="n">
        <f aca="false">Sheet1_Original_Data!I49</f>
        <v>98.6</v>
      </c>
      <c r="J50" s="6" t="n">
        <f aca="false">Sheet1_Original_Data!J49</f>
        <v>5.52</v>
      </c>
      <c r="K50" s="6" t="n">
        <f aca="false">Sheet1_Original_Data!K49</f>
        <v>0</v>
      </c>
      <c r="L50" s="6" t="n">
        <f aca="false">Sheet1_Original_Data!L49</f>
        <v>3.5</v>
      </c>
      <c r="M50" s="6" t="n">
        <f aca="false">Sheet1_Original_Data!M49</f>
        <v>599603.4</v>
      </c>
      <c r="N50" s="6" t="n">
        <f aca="false">Sheet1_Original_Data!N49</f>
        <v>112685.12</v>
      </c>
      <c r="O50" s="4" t="n">
        <f aca="false">IF(Sheet1_Original_Data!J49="",MEDIAN(Sheet1_Original_Data!$J$4:$J$323),Sheet1_Original_Data!J49)</f>
        <v>5.52</v>
      </c>
      <c r="P50" s="4" t="n">
        <f aca="false">IF(Sheet1_Original_Data!L49="",MEDIAN(Sheet1_Original_Data!$L$4:$L$323),Sheet1_Original_Data!L49)</f>
        <v>3.5</v>
      </c>
    </row>
    <row r="51" customFormat="false" ht="15" hidden="false" customHeight="false" outlineLevel="0" collapsed="false">
      <c r="A51" s="6" t="str">
        <f aca="false">Sheet1_Original_Data!A50</f>
        <v>STR-1012</v>
      </c>
      <c r="B51" s="6" t="str">
        <f aca="false">Sheet1_Original_Data!B50</f>
        <v>2025-03-01</v>
      </c>
      <c r="C51" s="6" t="str">
        <f aca="false">Sheet1_Original_Data!C50</f>
        <v>West</v>
      </c>
      <c r="D51" s="6" t="str">
        <f aca="false">Sheet1_Original_Data!D50</f>
        <v>Residential</v>
      </c>
      <c r="E51" s="6" t="n">
        <f aca="false">Sheet1_Original_Data!E50</f>
        <v>50043.65</v>
      </c>
      <c r="F51" s="6" t="n">
        <f aca="false">Sheet1_Original_Data!F50</f>
        <v>3804</v>
      </c>
      <c r="G51" s="6" t="n">
        <f aca="false">Sheet1_Original_Data!G50</f>
        <v>0.113</v>
      </c>
      <c r="H51" s="6" t="n">
        <f aca="false">Sheet1_Original_Data!H50</f>
        <v>11</v>
      </c>
      <c r="I51" s="6" t="n">
        <f aca="false">Sheet1_Original_Data!I50</f>
        <v>90.9</v>
      </c>
      <c r="J51" s="6" t="n">
        <f aca="false">Sheet1_Original_Data!J50</f>
        <v>2.7</v>
      </c>
      <c r="K51" s="6" t="n">
        <f aca="false">Sheet1_Original_Data!K50</f>
        <v>1</v>
      </c>
      <c r="L51" s="6" t="n">
        <f aca="false">Sheet1_Original_Data!L50</f>
        <v>3.2</v>
      </c>
      <c r="M51" s="6" t="n">
        <f aca="false">Sheet1_Original_Data!M50</f>
        <v>614800.09</v>
      </c>
      <c r="N51" s="6" t="n">
        <f aca="false">Sheet1_Original_Data!N50</f>
        <v>100044.2</v>
      </c>
      <c r="O51" s="4" t="n">
        <f aca="false">IF(Sheet1_Original_Data!J50="",MEDIAN(Sheet1_Original_Data!$J$4:$J$323),Sheet1_Original_Data!J50)</f>
        <v>2.7</v>
      </c>
      <c r="P51" s="4" t="n">
        <f aca="false">IF(Sheet1_Original_Data!L50="",MEDIAN(Sheet1_Original_Data!$L$4:$L$323),Sheet1_Original_Data!L50)</f>
        <v>3.2</v>
      </c>
    </row>
    <row r="52" customFormat="false" ht="15" hidden="false" customHeight="false" outlineLevel="0" collapsed="false">
      <c r="A52" s="6" t="str">
        <f aca="false">Sheet1_Original_Data!A51</f>
        <v>STR-1012</v>
      </c>
      <c r="B52" s="6" t="str">
        <f aca="false">Sheet1_Original_Data!B51</f>
        <v>2025-04-01</v>
      </c>
      <c r="C52" s="6" t="str">
        <f aca="false">Sheet1_Original_Data!C51</f>
        <v>West</v>
      </c>
      <c r="D52" s="6" t="str">
        <f aca="false">Sheet1_Original_Data!D51</f>
        <v>Residential</v>
      </c>
      <c r="E52" s="6" t="n">
        <f aca="false">Sheet1_Original_Data!E51</f>
        <v>42093.84</v>
      </c>
      <c r="F52" s="6" t="n">
        <f aca="false">Sheet1_Original_Data!F51</f>
        <v>4074</v>
      </c>
      <c r="G52" s="6" t="n">
        <f aca="false">Sheet1_Original_Data!G51</f>
        <v>0.155</v>
      </c>
      <c r="H52" s="6" t="n">
        <f aca="false">Sheet1_Original_Data!H51</f>
        <v>15</v>
      </c>
      <c r="I52" s="6" t="n">
        <f aca="false">Sheet1_Original_Data!I51</f>
        <v>88</v>
      </c>
      <c r="J52" s="6" t="n">
        <f aca="false">Sheet1_Original_Data!J51</f>
        <v>9.64</v>
      </c>
      <c r="K52" s="6" t="n">
        <f aca="false">Sheet1_Original_Data!K51</f>
        <v>0</v>
      </c>
      <c r="L52" s="6" t="n">
        <f aca="false">Sheet1_Original_Data!L51</f>
        <v>3.3</v>
      </c>
      <c r="M52" s="6" t="n">
        <f aca="false">Sheet1_Original_Data!M51</f>
        <v>585365.73</v>
      </c>
      <c r="N52" s="6" t="n">
        <f aca="false">Sheet1_Original_Data!N51</f>
        <v>81011.52</v>
      </c>
      <c r="O52" s="4" t="n">
        <f aca="false">IF(Sheet1_Original_Data!J51="",MEDIAN(Sheet1_Original_Data!$J$4:$J$323),Sheet1_Original_Data!J51)</f>
        <v>9.64</v>
      </c>
      <c r="P52" s="4" t="n">
        <f aca="false">IF(Sheet1_Original_Data!L51="",MEDIAN(Sheet1_Original_Data!$L$4:$L$323),Sheet1_Original_Data!L51)</f>
        <v>3.3</v>
      </c>
    </row>
    <row r="53" customFormat="false" ht="15" hidden="false" customHeight="false" outlineLevel="0" collapsed="false">
      <c r="A53" s="6" t="str">
        <f aca="false">Sheet1_Original_Data!A52</f>
        <v>STR-1013</v>
      </c>
      <c r="B53" s="6" t="str">
        <f aca="false">Sheet1_Original_Data!B52</f>
        <v>2025-01-01</v>
      </c>
      <c r="C53" s="6" t="str">
        <f aca="false">Sheet1_Original_Data!C52</f>
        <v>North</v>
      </c>
      <c r="D53" s="6" t="str">
        <f aca="false">Sheet1_Original_Data!D52</f>
        <v>Mall</v>
      </c>
      <c r="E53" s="6" t="n">
        <f aca="false">Sheet1_Original_Data!E52</f>
        <v>46624.05</v>
      </c>
      <c r="F53" s="6" t="n">
        <f aca="false">Sheet1_Original_Data!F52</f>
        <v>5104</v>
      </c>
      <c r="G53" s="6" t="n">
        <f aca="false">Sheet1_Original_Data!G52</f>
        <v>0.109</v>
      </c>
      <c r="H53" s="6" t="n">
        <f aca="false">Sheet1_Original_Data!H52</f>
        <v>11</v>
      </c>
      <c r="I53" s="6" t="n">
        <f aca="false">Sheet1_Original_Data!I52</f>
        <v>97.3</v>
      </c>
      <c r="J53" s="6" t="n">
        <f aca="false">Sheet1_Original_Data!J52</f>
        <v>3.49</v>
      </c>
      <c r="K53" s="6" t="n">
        <f aca="false">Sheet1_Original_Data!K52</f>
        <v>1</v>
      </c>
      <c r="L53" s="6" t="n">
        <f aca="false">Sheet1_Original_Data!L52</f>
        <v>4.7</v>
      </c>
      <c r="M53" s="6" t="n">
        <f aca="false">Sheet1_Original_Data!M52</f>
        <v>622811.74</v>
      </c>
      <c r="N53" s="6" t="n">
        <f aca="false">Sheet1_Original_Data!N52</f>
        <v>109978.35</v>
      </c>
      <c r="O53" s="4" t="n">
        <f aca="false">IF(Sheet1_Original_Data!J52="",MEDIAN(Sheet1_Original_Data!$J$4:$J$323),Sheet1_Original_Data!J52)</f>
        <v>3.49</v>
      </c>
      <c r="P53" s="4" t="n">
        <f aca="false">IF(Sheet1_Original_Data!L52="",MEDIAN(Sheet1_Original_Data!$L$4:$L$323),Sheet1_Original_Data!L52)</f>
        <v>4.7</v>
      </c>
    </row>
    <row r="54" customFormat="false" ht="15" hidden="false" customHeight="false" outlineLevel="0" collapsed="false">
      <c r="A54" s="6" t="str">
        <f aca="false">Sheet1_Original_Data!A53</f>
        <v>STR-1013</v>
      </c>
      <c r="B54" s="6" t="str">
        <f aca="false">Sheet1_Original_Data!B53</f>
        <v>2025-02-01</v>
      </c>
      <c r="C54" s="6" t="str">
        <f aca="false">Sheet1_Original_Data!C53</f>
        <v>North</v>
      </c>
      <c r="D54" s="6" t="str">
        <f aca="false">Sheet1_Original_Data!D53</f>
        <v>Mall</v>
      </c>
      <c r="E54" s="6" t="n">
        <f aca="false">Sheet1_Original_Data!E53</f>
        <v>49710.29</v>
      </c>
      <c r="F54" s="6" t="n">
        <f aca="false">Sheet1_Original_Data!F53</f>
        <v>5559</v>
      </c>
      <c r="G54" s="6" t="n">
        <f aca="false">Sheet1_Original_Data!G53</f>
        <v>0.218</v>
      </c>
      <c r="H54" s="6" t="n">
        <f aca="false">Sheet1_Original_Data!H53</f>
        <v>14</v>
      </c>
      <c r="I54" s="6" t="n">
        <f aca="false">Sheet1_Original_Data!I53</f>
        <v>71</v>
      </c>
      <c r="J54" s="6" t="n">
        <f aca="false">Sheet1_Original_Data!J53</f>
        <v>9.11</v>
      </c>
      <c r="K54" s="6" t="n">
        <f aca="false">Sheet1_Original_Data!K53</f>
        <v>0</v>
      </c>
      <c r="L54" s="6" t="n">
        <f aca="false">Sheet1_Original_Data!L53</f>
        <v>4.6</v>
      </c>
      <c r="M54" s="6" t="n">
        <f aca="false">Sheet1_Original_Data!M53</f>
        <v>603297.57</v>
      </c>
      <c r="N54" s="6" t="n">
        <f aca="false">Sheet1_Original_Data!N53</f>
        <v>60592.26</v>
      </c>
      <c r="O54" s="4" t="n">
        <f aca="false">IF(Sheet1_Original_Data!J53="",MEDIAN(Sheet1_Original_Data!$J$4:$J$323),Sheet1_Original_Data!J53)</f>
        <v>9.11</v>
      </c>
      <c r="P54" s="4" t="n">
        <f aca="false">IF(Sheet1_Original_Data!L53="",MEDIAN(Sheet1_Original_Data!$L$4:$L$323),Sheet1_Original_Data!L53)</f>
        <v>4.6</v>
      </c>
    </row>
    <row r="55" customFormat="false" ht="15" hidden="false" customHeight="false" outlineLevel="0" collapsed="false">
      <c r="A55" s="6" t="str">
        <f aca="false">Sheet1_Original_Data!A54</f>
        <v>STR-1013</v>
      </c>
      <c r="B55" s="6" t="str">
        <f aca="false">Sheet1_Original_Data!B54</f>
        <v>2025-03-01</v>
      </c>
      <c r="C55" s="6" t="str">
        <f aca="false">Sheet1_Original_Data!C54</f>
        <v>North</v>
      </c>
      <c r="D55" s="6" t="str">
        <f aca="false">Sheet1_Original_Data!D54</f>
        <v>Mall</v>
      </c>
      <c r="E55" s="6" t="n">
        <f aca="false">Sheet1_Original_Data!E54</f>
        <v>48287.85</v>
      </c>
      <c r="F55" s="6" t="n">
        <f aca="false">Sheet1_Original_Data!F54</f>
        <v>5150</v>
      </c>
      <c r="G55" s="6" t="n">
        <f aca="false">Sheet1_Original_Data!G54</f>
        <v>0.008</v>
      </c>
      <c r="H55" s="6" t="n">
        <f aca="false">Sheet1_Original_Data!H54</f>
        <v>12</v>
      </c>
      <c r="I55" s="6" t="n">
        <f aca="false">Sheet1_Original_Data!I54</f>
        <v>80.4</v>
      </c>
      <c r="J55" s="6" t="n">
        <f aca="false">Sheet1_Original_Data!J54</f>
        <v>7.4</v>
      </c>
      <c r="K55" s="6" t="n">
        <f aca="false">Sheet1_Original_Data!K54</f>
        <v>0</v>
      </c>
      <c r="L55" s="6" t="n">
        <f aca="false">Sheet1_Original_Data!L54</f>
        <v>4.5</v>
      </c>
      <c r="M55" s="6" t="n">
        <f aca="false">Sheet1_Original_Data!M54</f>
        <v>625672.86</v>
      </c>
      <c r="N55" s="6" t="n">
        <f aca="false">Sheet1_Original_Data!N54</f>
        <v>118020.12</v>
      </c>
      <c r="O55" s="4" t="n">
        <f aca="false">IF(Sheet1_Original_Data!J54="",MEDIAN(Sheet1_Original_Data!$J$4:$J$323),Sheet1_Original_Data!J54)</f>
        <v>7.4</v>
      </c>
      <c r="P55" s="4" t="n">
        <f aca="false">IF(Sheet1_Original_Data!L54="",MEDIAN(Sheet1_Original_Data!$L$4:$L$323),Sheet1_Original_Data!L54)</f>
        <v>4.5</v>
      </c>
    </row>
    <row r="56" customFormat="false" ht="15" hidden="false" customHeight="false" outlineLevel="0" collapsed="false">
      <c r="A56" s="6" t="str">
        <f aca="false">Sheet1_Original_Data!A55</f>
        <v>STR-1013</v>
      </c>
      <c r="B56" s="6" t="str">
        <f aca="false">Sheet1_Original_Data!B55</f>
        <v>2025-04-01</v>
      </c>
      <c r="C56" s="6" t="str">
        <f aca="false">Sheet1_Original_Data!C55</f>
        <v>North</v>
      </c>
      <c r="D56" s="6" t="str">
        <f aca="false">Sheet1_Original_Data!D55</f>
        <v>Mall</v>
      </c>
      <c r="E56" s="6" t="n">
        <f aca="false">Sheet1_Original_Data!E55</f>
        <v>65312.49</v>
      </c>
      <c r="F56" s="6" t="n">
        <f aca="false">Sheet1_Original_Data!F55</f>
        <v>7189</v>
      </c>
      <c r="G56" s="6" t="n">
        <f aca="false">Sheet1_Original_Data!G55</f>
        <v>0.05</v>
      </c>
      <c r="H56" s="6" t="n">
        <f aca="false">Sheet1_Original_Data!H55</f>
        <v>19</v>
      </c>
      <c r="I56" s="6" t="n">
        <f aca="false">Sheet1_Original_Data!I55</f>
        <v>93.7</v>
      </c>
      <c r="J56" s="6" t="n">
        <f aca="false">Sheet1_Original_Data!J55</f>
        <v>7.16</v>
      </c>
      <c r="K56" s="6" t="n">
        <f aca="false">Sheet1_Original_Data!K55</f>
        <v>0</v>
      </c>
      <c r="L56" s="6" t="n">
        <f aca="false">Sheet1_Original_Data!L55</f>
        <v>4.6</v>
      </c>
      <c r="M56" s="6" t="n">
        <f aca="false">Sheet1_Original_Data!M55</f>
        <v>773815.14</v>
      </c>
      <c r="N56" s="6" t="n">
        <f aca="false">Sheet1_Original_Data!N55</f>
        <v>133948.39</v>
      </c>
      <c r="O56" s="4" t="n">
        <f aca="false">IF(Sheet1_Original_Data!J55="",MEDIAN(Sheet1_Original_Data!$J$4:$J$323),Sheet1_Original_Data!J55)</f>
        <v>7.16</v>
      </c>
      <c r="P56" s="4" t="n">
        <f aca="false">IF(Sheet1_Original_Data!L55="",MEDIAN(Sheet1_Original_Data!$L$4:$L$323),Sheet1_Original_Data!L55)</f>
        <v>4.6</v>
      </c>
    </row>
    <row r="57" customFormat="false" ht="15" hidden="false" customHeight="false" outlineLevel="0" collapsed="false">
      <c r="A57" s="6" t="str">
        <f aca="false">Sheet1_Original_Data!A56</f>
        <v>STR-1014</v>
      </c>
      <c r="B57" s="6" t="str">
        <f aca="false">Sheet1_Original_Data!B56</f>
        <v>2025-01-01</v>
      </c>
      <c r="C57" s="6" t="str">
        <f aca="false">Sheet1_Original_Data!C56</f>
        <v>West</v>
      </c>
      <c r="D57" s="6" t="str">
        <f aca="false">Sheet1_Original_Data!D56</f>
        <v>High Street</v>
      </c>
      <c r="E57" s="6" t="n">
        <f aca="false">Sheet1_Original_Data!E56</f>
        <v>53015.46</v>
      </c>
      <c r="F57" s="6" t="n">
        <f aca="false">Sheet1_Original_Data!F56</f>
        <v>3279</v>
      </c>
      <c r="G57" s="6" t="n">
        <f aca="false">Sheet1_Original_Data!G56</f>
        <v>0.087</v>
      </c>
      <c r="H57" s="6" t="n">
        <f aca="false">Sheet1_Original_Data!H56</f>
        <v>9</v>
      </c>
      <c r="I57" s="6" t="n">
        <f aca="false">Sheet1_Original_Data!I56</f>
        <v>84.3</v>
      </c>
      <c r="J57" s="6" t="n">
        <f aca="false">Sheet1_Original_Data!J56</f>
        <v>22.02</v>
      </c>
      <c r="K57" s="6" t="n">
        <f aca="false">Sheet1_Original_Data!K56</f>
        <v>0</v>
      </c>
      <c r="L57" s="6" t="n">
        <f aca="false">Sheet1_Original_Data!L56</f>
        <v>3.9</v>
      </c>
      <c r="M57" s="6" t="n">
        <f aca="false">Sheet1_Original_Data!M56</f>
        <v>463534.25</v>
      </c>
      <c r="N57" s="6" t="n">
        <f aca="false">Sheet1_Original_Data!N56</f>
        <v>81834.54</v>
      </c>
      <c r="O57" s="4" t="n">
        <f aca="false">IF(Sheet1_Original_Data!J56="",MEDIAN(Sheet1_Original_Data!$J$4:$J$323),Sheet1_Original_Data!J56)</f>
        <v>22.02</v>
      </c>
      <c r="P57" s="4" t="n">
        <f aca="false">IF(Sheet1_Original_Data!L56="",MEDIAN(Sheet1_Original_Data!$L$4:$L$323),Sheet1_Original_Data!L56)</f>
        <v>3.9</v>
      </c>
    </row>
    <row r="58" customFormat="false" ht="15" hidden="false" customHeight="false" outlineLevel="0" collapsed="false">
      <c r="A58" s="6" t="str">
        <f aca="false">Sheet1_Original_Data!A57</f>
        <v>STR-1014</v>
      </c>
      <c r="B58" s="6" t="str">
        <f aca="false">Sheet1_Original_Data!B57</f>
        <v>2025-02-01</v>
      </c>
      <c r="C58" s="6" t="str">
        <f aca="false">Sheet1_Original_Data!C57</f>
        <v>West</v>
      </c>
      <c r="D58" s="6" t="str">
        <f aca="false">Sheet1_Original_Data!D57</f>
        <v>High Street</v>
      </c>
      <c r="E58" s="6" t="n">
        <f aca="false">Sheet1_Original_Data!E57</f>
        <v>99874.01</v>
      </c>
      <c r="F58" s="6" t="n">
        <f aca="false">Sheet1_Original_Data!F57</f>
        <v>5887</v>
      </c>
      <c r="G58" s="6" t="n">
        <f aca="false">Sheet1_Original_Data!G57</f>
        <v>0.262</v>
      </c>
      <c r="H58" s="6" t="n">
        <f aca="false">Sheet1_Original_Data!H57</f>
        <v>14</v>
      </c>
      <c r="I58" s="6" t="n">
        <f aca="false">Sheet1_Original_Data!I57</f>
        <v>88.7</v>
      </c>
      <c r="J58" s="6" t="n">
        <f aca="false">Sheet1_Original_Data!J57</f>
        <v>6.18</v>
      </c>
      <c r="K58" s="6" t="n">
        <f aca="false">Sheet1_Original_Data!K57</f>
        <v>0</v>
      </c>
      <c r="L58" s="6" t="n">
        <f aca="false">Sheet1_Original_Data!L57</f>
        <v>4.7</v>
      </c>
      <c r="M58" s="6" t="n">
        <f aca="false">Sheet1_Original_Data!M57</f>
        <v>746677.75</v>
      </c>
      <c r="N58" s="6" t="n">
        <f aca="false">Sheet1_Original_Data!N57</f>
        <v>122437.84</v>
      </c>
      <c r="O58" s="4" t="n">
        <f aca="false">IF(Sheet1_Original_Data!J57="",MEDIAN(Sheet1_Original_Data!$J$4:$J$323),Sheet1_Original_Data!J57)</f>
        <v>6.18</v>
      </c>
      <c r="P58" s="4" t="n">
        <f aca="false">IF(Sheet1_Original_Data!L57="",MEDIAN(Sheet1_Original_Data!$L$4:$L$323),Sheet1_Original_Data!L57)</f>
        <v>4.7</v>
      </c>
    </row>
    <row r="59" customFormat="false" ht="15" hidden="false" customHeight="false" outlineLevel="0" collapsed="false">
      <c r="A59" s="6" t="str">
        <f aca="false">Sheet1_Original_Data!A58</f>
        <v>STR-1014</v>
      </c>
      <c r="B59" s="6" t="str">
        <f aca="false">Sheet1_Original_Data!B58</f>
        <v>2025-03-01</v>
      </c>
      <c r="C59" s="6" t="str">
        <f aca="false">Sheet1_Original_Data!C58</f>
        <v>West</v>
      </c>
      <c r="D59" s="6" t="str">
        <f aca="false">Sheet1_Original_Data!D58</f>
        <v>High Street</v>
      </c>
      <c r="E59" s="6" t="n">
        <f aca="false">Sheet1_Original_Data!E58</f>
        <v>81195.5</v>
      </c>
      <c r="F59" s="6" t="n">
        <f aca="false">Sheet1_Original_Data!F58</f>
        <v>5516</v>
      </c>
      <c r="G59" s="6" t="n">
        <f aca="false">Sheet1_Original_Data!G58</f>
        <v>0.106</v>
      </c>
      <c r="H59" s="6" t="n">
        <f aca="false">Sheet1_Original_Data!H58</f>
        <v>14</v>
      </c>
      <c r="I59" s="6" t="n">
        <f aca="false">Sheet1_Original_Data!I58</f>
        <v>88</v>
      </c>
      <c r="J59" s="6" t="n">
        <f aca="false">Sheet1_Original_Data!J58</f>
        <v>1.76</v>
      </c>
      <c r="K59" s="6" t="n">
        <f aca="false">Sheet1_Original_Data!K58</f>
        <v>0</v>
      </c>
      <c r="L59" s="6" t="n">
        <f aca="false">Sheet1_Original_Data!L58</f>
        <v>4.3</v>
      </c>
      <c r="M59" s="6" t="n">
        <f aca="false">Sheet1_Original_Data!M58</f>
        <v>720852.5</v>
      </c>
      <c r="N59" s="6" t="n">
        <f aca="false">Sheet1_Original_Data!N58</f>
        <v>98565.62</v>
      </c>
      <c r="O59" s="4" t="n">
        <f aca="false">IF(Sheet1_Original_Data!J58="",MEDIAN(Sheet1_Original_Data!$J$4:$J$323),Sheet1_Original_Data!J58)</f>
        <v>1.76</v>
      </c>
      <c r="P59" s="4" t="n">
        <f aca="false">IF(Sheet1_Original_Data!L58="",MEDIAN(Sheet1_Original_Data!$L$4:$L$323),Sheet1_Original_Data!L58)</f>
        <v>4.3</v>
      </c>
    </row>
    <row r="60" customFormat="false" ht="15" hidden="false" customHeight="false" outlineLevel="0" collapsed="false">
      <c r="A60" s="6" t="str">
        <f aca="false">Sheet1_Original_Data!A59</f>
        <v>STR-1014</v>
      </c>
      <c r="B60" s="6" t="str">
        <f aca="false">Sheet1_Original_Data!B59</f>
        <v>2025-04-01</v>
      </c>
      <c r="C60" s="6" t="str">
        <f aca="false">Sheet1_Original_Data!C59</f>
        <v>West</v>
      </c>
      <c r="D60" s="6" t="str">
        <f aca="false">Sheet1_Original_Data!D59</f>
        <v>High Street</v>
      </c>
      <c r="E60" s="6" t="n">
        <f aca="false">Sheet1_Original_Data!E59</f>
        <v>27808.6</v>
      </c>
      <c r="F60" s="6" t="n">
        <f aca="false">Sheet1_Original_Data!F59</f>
        <v>2863</v>
      </c>
      <c r="G60" s="6" t="n">
        <f aca="false">Sheet1_Original_Data!G59</f>
        <v>0.08</v>
      </c>
      <c r="H60" s="6" t="n">
        <f aca="false">Sheet1_Original_Data!H59</f>
        <v>13</v>
      </c>
      <c r="I60" s="6" t="n">
        <f aca="false">Sheet1_Original_Data!I59</f>
        <v>89.3</v>
      </c>
      <c r="J60" s="6" t="n">
        <f aca="false">Sheet1_Original_Data!J59</f>
        <v>0.47</v>
      </c>
      <c r="K60" s="6" t="n">
        <f aca="false">Sheet1_Original_Data!K59</f>
        <v>0</v>
      </c>
      <c r="L60" s="6" t="n">
        <f aca="false">Sheet1_Original_Data!L59</f>
        <v>4.1</v>
      </c>
      <c r="M60" s="6" t="n">
        <f aca="false">Sheet1_Original_Data!M59</f>
        <v>487464.91</v>
      </c>
      <c r="N60" s="6" t="n">
        <f aca="false">Sheet1_Original_Data!N59</f>
        <v>64562.26</v>
      </c>
      <c r="O60" s="4" t="n">
        <f aca="false">IF(Sheet1_Original_Data!J59="",MEDIAN(Sheet1_Original_Data!$J$4:$J$323),Sheet1_Original_Data!J59)</f>
        <v>0.47</v>
      </c>
      <c r="P60" s="4" t="n">
        <f aca="false">IF(Sheet1_Original_Data!L59="",MEDIAN(Sheet1_Original_Data!$L$4:$L$323),Sheet1_Original_Data!L59)</f>
        <v>4.1</v>
      </c>
    </row>
    <row r="61" customFormat="false" ht="15" hidden="false" customHeight="false" outlineLevel="0" collapsed="false">
      <c r="A61" s="6" t="str">
        <f aca="false">Sheet1_Original_Data!A60</f>
        <v>STR-1015</v>
      </c>
      <c r="B61" s="6" t="str">
        <f aca="false">Sheet1_Original_Data!B60</f>
        <v>2025-01-01</v>
      </c>
      <c r="C61" s="6" t="str">
        <f aca="false">Sheet1_Original_Data!C60</f>
        <v>East</v>
      </c>
      <c r="D61" s="6" t="str">
        <f aca="false">Sheet1_Original_Data!D60</f>
        <v>Airport</v>
      </c>
      <c r="E61" s="6" t="n">
        <f aca="false">Sheet1_Original_Data!E60</f>
        <v>19365.06</v>
      </c>
      <c r="F61" s="6" t="n">
        <f aca="false">Sheet1_Original_Data!F60</f>
        <v>2378</v>
      </c>
      <c r="G61" s="6" t="n">
        <f aca="false">Sheet1_Original_Data!G60</f>
        <v>0</v>
      </c>
      <c r="H61" s="6" t="n">
        <f aca="false">Sheet1_Original_Data!H60</f>
        <v>12</v>
      </c>
      <c r="I61" s="6" t="n">
        <f aca="false">Sheet1_Original_Data!I60</f>
        <v>94.8</v>
      </c>
      <c r="J61" s="6" t="n">
        <f aca="false">Sheet1_Original_Data!J60</f>
        <v>0.2</v>
      </c>
      <c r="K61" s="6" t="n">
        <f aca="false">Sheet1_Original_Data!K60</f>
        <v>0</v>
      </c>
      <c r="L61" s="6" t="n">
        <f aca="false">Sheet1_Original_Data!L60</f>
        <v>3.5</v>
      </c>
      <c r="M61" s="6" t="n">
        <f aca="false">Sheet1_Original_Data!M60</f>
        <v>518049.26</v>
      </c>
      <c r="N61" s="6" t="n">
        <f aca="false">Sheet1_Original_Data!N60</f>
        <v>108592.49</v>
      </c>
      <c r="O61" s="4" t="n">
        <f aca="false">IF(Sheet1_Original_Data!J60="",MEDIAN(Sheet1_Original_Data!$J$4:$J$323),Sheet1_Original_Data!J60)</f>
        <v>0.2</v>
      </c>
      <c r="P61" s="4" t="n">
        <f aca="false">IF(Sheet1_Original_Data!L60="",MEDIAN(Sheet1_Original_Data!$L$4:$L$323),Sheet1_Original_Data!L60)</f>
        <v>3.5</v>
      </c>
    </row>
    <row r="62" customFormat="false" ht="15" hidden="false" customHeight="false" outlineLevel="0" collapsed="false">
      <c r="A62" s="6" t="str">
        <f aca="false">Sheet1_Original_Data!A61</f>
        <v>STR-1015</v>
      </c>
      <c r="B62" s="6" t="str">
        <f aca="false">Sheet1_Original_Data!B61</f>
        <v>2025-02-01</v>
      </c>
      <c r="C62" s="6" t="str">
        <f aca="false">Sheet1_Original_Data!C61</f>
        <v>East</v>
      </c>
      <c r="D62" s="6" t="str">
        <f aca="false">Sheet1_Original_Data!D61</f>
        <v>Airport</v>
      </c>
      <c r="E62" s="6" t="n">
        <f aca="false">Sheet1_Original_Data!E61</f>
        <v>59405.68</v>
      </c>
      <c r="F62" s="6" t="n">
        <f aca="false">Sheet1_Original_Data!F61</f>
        <v>2515</v>
      </c>
      <c r="G62" s="6" t="n">
        <f aca="false">Sheet1_Original_Data!G61</f>
        <v>0.039</v>
      </c>
      <c r="H62" s="6" t="n">
        <f aca="false">Sheet1_Original_Data!H61</f>
        <v>12</v>
      </c>
      <c r="I62" s="6" t="n">
        <f aca="false">Sheet1_Original_Data!I61</f>
        <v>76</v>
      </c>
      <c r="J62" s="6" t="n">
        <f aca="false">Sheet1_Original_Data!J61</f>
        <v>5.11</v>
      </c>
      <c r="K62" s="6" t="n">
        <f aca="false">Sheet1_Original_Data!K61</f>
        <v>0</v>
      </c>
      <c r="L62" s="6" t="n">
        <f aca="false">Sheet1_Original_Data!L61</f>
        <v>3.7</v>
      </c>
      <c r="M62" s="6" t="n">
        <f aca="false">Sheet1_Original_Data!M61</f>
        <v>500298.48</v>
      </c>
      <c r="N62" s="6" t="n">
        <f aca="false">Sheet1_Original_Data!N61</f>
        <v>73461.32</v>
      </c>
      <c r="O62" s="4" t="n">
        <f aca="false">IF(Sheet1_Original_Data!J61="",MEDIAN(Sheet1_Original_Data!$J$4:$J$323),Sheet1_Original_Data!J61)</f>
        <v>5.11</v>
      </c>
      <c r="P62" s="4" t="n">
        <f aca="false">IF(Sheet1_Original_Data!L61="",MEDIAN(Sheet1_Original_Data!$L$4:$L$323),Sheet1_Original_Data!L61)</f>
        <v>3.7</v>
      </c>
    </row>
    <row r="63" customFormat="false" ht="15" hidden="false" customHeight="false" outlineLevel="0" collapsed="false">
      <c r="A63" s="6" t="str">
        <f aca="false">Sheet1_Original_Data!A62</f>
        <v>STR-1015</v>
      </c>
      <c r="B63" s="6" t="str">
        <f aca="false">Sheet1_Original_Data!B62</f>
        <v>2025-03-01</v>
      </c>
      <c r="C63" s="6" t="str">
        <f aca="false">Sheet1_Original_Data!C62</f>
        <v>East</v>
      </c>
      <c r="D63" s="6" t="str">
        <f aca="false">Sheet1_Original_Data!D62</f>
        <v>Airport</v>
      </c>
      <c r="E63" s="6" t="n">
        <f aca="false">Sheet1_Original_Data!E62</f>
        <v>118910.48</v>
      </c>
      <c r="F63" s="6" t="n">
        <f aca="false">Sheet1_Original_Data!F62</f>
        <v>4022</v>
      </c>
      <c r="G63" s="6" t="n">
        <f aca="false">Sheet1_Original_Data!G62</f>
        <v>0.137</v>
      </c>
      <c r="H63" s="6" t="n">
        <f aca="false">Sheet1_Original_Data!H62</f>
        <v>11</v>
      </c>
      <c r="I63" s="6" t="n">
        <f aca="false">Sheet1_Original_Data!I62</f>
        <v>87.1</v>
      </c>
      <c r="J63" s="6" t="n">
        <f aca="false">Sheet1_Original_Data!J62</f>
        <v>0.2</v>
      </c>
      <c r="K63" s="6" t="n">
        <f aca="false">Sheet1_Original_Data!K62</f>
        <v>0</v>
      </c>
      <c r="L63" s="6" t="n">
        <f aca="false">Sheet1_Original_Data!L62</f>
        <v>3.1</v>
      </c>
      <c r="M63" s="6" t="n">
        <f aca="false">Sheet1_Original_Data!M62</f>
        <v>617291.15</v>
      </c>
      <c r="N63" s="6" t="n">
        <f aca="false">Sheet1_Original_Data!N62</f>
        <v>117782</v>
      </c>
      <c r="O63" s="4" t="n">
        <f aca="false">IF(Sheet1_Original_Data!J62="",MEDIAN(Sheet1_Original_Data!$J$4:$J$323),Sheet1_Original_Data!J62)</f>
        <v>0.2</v>
      </c>
      <c r="P63" s="4" t="n">
        <f aca="false">IF(Sheet1_Original_Data!L62="",MEDIAN(Sheet1_Original_Data!$L$4:$L$323),Sheet1_Original_Data!L62)</f>
        <v>3.1</v>
      </c>
    </row>
    <row r="64" customFormat="false" ht="15" hidden="false" customHeight="false" outlineLevel="0" collapsed="false">
      <c r="A64" s="6" t="str">
        <f aca="false">Sheet1_Original_Data!A63</f>
        <v>STR-1015</v>
      </c>
      <c r="B64" s="6" t="str">
        <f aca="false">Sheet1_Original_Data!B63</f>
        <v>2025-04-01</v>
      </c>
      <c r="C64" s="6" t="str">
        <f aca="false">Sheet1_Original_Data!C63</f>
        <v>East</v>
      </c>
      <c r="D64" s="6" t="str">
        <f aca="false">Sheet1_Original_Data!D63</f>
        <v>Airport</v>
      </c>
      <c r="E64" s="6" t="n">
        <f aca="false">Sheet1_Original_Data!E63</f>
        <v>52952.12</v>
      </c>
      <c r="F64" s="6" t="n">
        <f aca="false">Sheet1_Original_Data!F63</f>
        <v>4377</v>
      </c>
      <c r="G64" s="6" t="n">
        <f aca="false">Sheet1_Original_Data!G63</f>
        <v>0.092</v>
      </c>
      <c r="H64" s="6" t="n">
        <f aca="false">Sheet1_Original_Data!H63</f>
        <v>14</v>
      </c>
      <c r="I64" s="6" t="n">
        <f aca="false">Sheet1_Original_Data!I63</f>
        <v>88.6</v>
      </c>
      <c r="J64" s="6" t="n">
        <f aca="false">Sheet1_Original_Data!J63</f>
        <v>13.59</v>
      </c>
      <c r="K64" s="6" t="n">
        <f aca="false">Sheet1_Original_Data!K63</f>
        <v>0</v>
      </c>
      <c r="L64" s="6" t="n">
        <f aca="false">Sheet1_Original_Data!L63</f>
        <v>3.1</v>
      </c>
      <c r="M64" s="6" t="n">
        <f aca="false">Sheet1_Original_Data!M63</f>
        <v>553756.43</v>
      </c>
      <c r="N64" s="6" t="n">
        <f aca="false">Sheet1_Original_Data!N63</f>
        <v>86166.77</v>
      </c>
      <c r="O64" s="4" t="n">
        <f aca="false">IF(Sheet1_Original_Data!J63="",MEDIAN(Sheet1_Original_Data!$J$4:$J$323),Sheet1_Original_Data!J63)</f>
        <v>13.59</v>
      </c>
      <c r="P64" s="4" t="n">
        <f aca="false">IF(Sheet1_Original_Data!L63="",MEDIAN(Sheet1_Original_Data!$L$4:$L$323),Sheet1_Original_Data!L63)</f>
        <v>3.1</v>
      </c>
    </row>
    <row r="65" customFormat="false" ht="15" hidden="false" customHeight="false" outlineLevel="0" collapsed="false">
      <c r="A65" s="6" t="str">
        <f aca="false">Sheet1_Original_Data!A64</f>
        <v>STR-1016</v>
      </c>
      <c r="B65" s="6" t="str">
        <f aca="false">Sheet1_Original_Data!B64</f>
        <v>2025-01-01</v>
      </c>
      <c r="C65" s="6" t="str">
        <f aca="false">Sheet1_Original_Data!C64</f>
        <v>South</v>
      </c>
      <c r="D65" s="6" t="str">
        <f aca="false">Sheet1_Original_Data!D64</f>
        <v>High Street</v>
      </c>
      <c r="E65" s="6" t="n">
        <f aca="false">Sheet1_Original_Data!E64</f>
        <v>74907.98</v>
      </c>
      <c r="F65" s="6" t="n">
        <f aca="false">Sheet1_Original_Data!F64</f>
        <v>5306</v>
      </c>
      <c r="G65" s="6" t="n">
        <f aca="false">Sheet1_Original_Data!G64</f>
        <v>0.062</v>
      </c>
      <c r="H65" s="6" t="n">
        <f aca="false">Sheet1_Original_Data!H64</f>
        <v>16</v>
      </c>
      <c r="I65" s="6" t="n">
        <f aca="false">Sheet1_Original_Data!I64</f>
        <v>95.6</v>
      </c>
      <c r="J65" s="6" t="n">
        <f aca="false">Sheet1_Original_Data!J64</f>
        <v>1.02</v>
      </c>
      <c r="K65" s="6" t="n">
        <f aca="false">Sheet1_Original_Data!K64</f>
        <v>0</v>
      </c>
      <c r="L65" s="6" t="n">
        <f aca="false">Sheet1_Original_Data!L64</f>
        <v>3.7</v>
      </c>
      <c r="M65" s="6" t="n">
        <f aca="false">Sheet1_Original_Data!M64</f>
        <v>749559.71</v>
      </c>
      <c r="N65" s="6" t="n">
        <f aca="false">Sheet1_Original_Data!N64</f>
        <v>144522.53</v>
      </c>
      <c r="O65" s="4" t="n">
        <f aca="false">IF(Sheet1_Original_Data!J64="",MEDIAN(Sheet1_Original_Data!$J$4:$J$323),Sheet1_Original_Data!J64)</f>
        <v>1.02</v>
      </c>
      <c r="P65" s="4" t="n">
        <f aca="false">IF(Sheet1_Original_Data!L64="",MEDIAN(Sheet1_Original_Data!$L$4:$L$323),Sheet1_Original_Data!L64)</f>
        <v>3.7</v>
      </c>
    </row>
    <row r="66" customFormat="false" ht="15" hidden="false" customHeight="false" outlineLevel="0" collapsed="false">
      <c r="A66" s="6" t="str">
        <f aca="false">Sheet1_Original_Data!A65</f>
        <v>STR-1016</v>
      </c>
      <c r="B66" s="6" t="str">
        <f aca="false">Sheet1_Original_Data!B65</f>
        <v>2025-02-01</v>
      </c>
      <c r="C66" s="6" t="str">
        <f aca="false">Sheet1_Original_Data!C65</f>
        <v>South</v>
      </c>
      <c r="D66" s="6" t="str">
        <f aca="false">Sheet1_Original_Data!D65</f>
        <v>High Street</v>
      </c>
      <c r="E66" s="6" t="n">
        <f aca="false">Sheet1_Original_Data!E65</f>
        <v>37284.66</v>
      </c>
      <c r="F66" s="6" t="n">
        <f aca="false">Sheet1_Original_Data!F65</f>
        <v>3928</v>
      </c>
      <c r="G66" s="6" t="n">
        <f aca="false">Sheet1_Original_Data!G65</f>
        <v>0.074</v>
      </c>
      <c r="H66" s="6" t="n">
        <f aca="false">Sheet1_Original_Data!H65</f>
        <v>12</v>
      </c>
      <c r="I66" s="6" t="n">
        <f aca="false">Sheet1_Original_Data!I65</f>
        <v>86.5</v>
      </c>
      <c r="J66" s="6" t="n">
        <f aca="false">Sheet1_Original_Data!J65</f>
        <v>1.64</v>
      </c>
      <c r="K66" s="6" t="n">
        <f aca="false">Sheet1_Original_Data!K65</f>
        <v>0</v>
      </c>
      <c r="L66" s="6" t="n">
        <f aca="false">Sheet1_Original_Data!L65</f>
        <v>3.8</v>
      </c>
      <c r="M66" s="6" t="n">
        <f aca="false">Sheet1_Original_Data!M65</f>
        <v>615966.48</v>
      </c>
      <c r="N66" s="6" t="n">
        <f aca="false">Sheet1_Original_Data!N65</f>
        <v>91509.38</v>
      </c>
      <c r="O66" s="4" t="n">
        <f aca="false">IF(Sheet1_Original_Data!J65="",MEDIAN(Sheet1_Original_Data!$J$4:$J$323),Sheet1_Original_Data!J65)</f>
        <v>1.64</v>
      </c>
      <c r="P66" s="4" t="n">
        <f aca="false">IF(Sheet1_Original_Data!L65="",MEDIAN(Sheet1_Original_Data!$L$4:$L$323),Sheet1_Original_Data!L65)</f>
        <v>3.8</v>
      </c>
    </row>
    <row r="67" customFormat="false" ht="15" hidden="false" customHeight="false" outlineLevel="0" collapsed="false">
      <c r="A67" s="6" t="str">
        <f aca="false">Sheet1_Original_Data!A66</f>
        <v>STR-1016</v>
      </c>
      <c r="B67" s="6" t="str">
        <f aca="false">Sheet1_Original_Data!B66</f>
        <v>2025-03-01</v>
      </c>
      <c r="C67" s="6" t="str">
        <f aca="false">Sheet1_Original_Data!C66</f>
        <v>South</v>
      </c>
      <c r="D67" s="6" t="str">
        <f aca="false">Sheet1_Original_Data!D66</f>
        <v>High Street</v>
      </c>
      <c r="E67" s="6" t="n">
        <f aca="false">Sheet1_Original_Data!E66</f>
        <v>50343.19</v>
      </c>
      <c r="F67" s="6" t="n">
        <f aca="false">Sheet1_Original_Data!F66</f>
        <v>3845</v>
      </c>
      <c r="G67" s="6" t="n">
        <f aca="false">Sheet1_Original_Data!G66</f>
        <v>0.113</v>
      </c>
      <c r="H67" s="6" t="n">
        <f aca="false">Sheet1_Original_Data!H66</f>
        <v>9</v>
      </c>
      <c r="I67" s="6" t="n">
        <f aca="false">Sheet1_Original_Data!I66</f>
        <v>88.7</v>
      </c>
      <c r="J67" s="6" t="n">
        <f aca="false">Sheet1_Original_Data!J66</f>
        <v>5.15</v>
      </c>
      <c r="K67" s="6" t="n">
        <f aca="false">Sheet1_Original_Data!K66</f>
        <v>0</v>
      </c>
      <c r="L67" s="6" t="n">
        <f aca="false">Sheet1_Original_Data!L66</f>
        <v>3.3</v>
      </c>
      <c r="M67" s="6" t="n">
        <f aca="false">Sheet1_Original_Data!M66</f>
        <v>572011.2</v>
      </c>
      <c r="N67" s="6" t="n">
        <f aca="false">Sheet1_Original_Data!N66</f>
        <v>101409.68</v>
      </c>
      <c r="O67" s="4" t="n">
        <f aca="false">IF(Sheet1_Original_Data!J66="",MEDIAN(Sheet1_Original_Data!$J$4:$J$323),Sheet1_Original_Data!J66)</f>
        <v>5.15</v>
      </c>
      <c r="P67" s="4" t="n">
        <f aca="false">IF(Sheet1_Original_Data!L66="",MEDIAN(Sheet1_Original_Data!$L$4:$L$323),Sheet1_Original_Data!L66)</f>
        <v>3.3</v>
      </c>
    </row>
    <row r="68" customFormat="false" ht="15" hidden="false" customHeight="false" outlineLevel="0" collapsed="false">
      <c r="A68" s="6" t="str">
        <f aca="false">Sheet1_Original_Data!A67</f>
        <v>STR-1016</v>
      </c>
      <c r="B68" s="6" t="str">
        <f aca="false">Sheet1_Original_Data!B67</f>
        <v>2025-04-01</v>
      </c>
      <c r="C68" s="6" t="str">
        <f aca="false">Sheet1_Original_Data!C67</f>
        <v>South</v>
      </c>
      <c r="D68" s="6" t="str">
        <f aca="false">Sheet1_Original_Data!D67</f>
        <v>High Street</v>
      </c>
      <c r="E68" s="6" t="n">
        <f aca="false">Sheet1_Original_Data!E67</f>
        <v>74954.47</v>
      </c>
      <c r="F68" s="6" t="n">
        <f aca="false">Sheet1_Original_Data!F67</f>
        <v>6620</v>
      </c>
      <c r="G68" s="6" t="n">
        <f aca="false">Sheet1_Original_Data!G67</f>
        <v>0.054</v>
      </c>
      <c r="H68" s="6" t="n">
        <f aca="false">Sheet1_Original_Data!H67</f>
        <v>17</v>
      </c>
      <c r="I68" s="6" t="n">
        <f aca="false">Sheet1_Original_Data!I67</f>
        <v>91.1</v>
      </c>
      <c r="J68" s="6" t="n">
        <f aca="false">Sheet1_Original_Data!J67</f>
        <v>1.11</v>
      </c>
      <c r="K68" s="6" t="n">
        <f aca="false">Sheet1_Original_Data!K67</f>
        <v>0</v>
      </c>
      <c r="L68" s="6" t="n">
        <f aca="false">Sheet1_Original_Data!L67</f>
        <v>3.5</v>
      </c>
      <c r="M68" s="6" t="n">
        <f aca="false">Sheet1_Original_Data!M67</f>
        <v>761860.19</v>
      </c>
      <c r="N68" s="6" t="n">
        <f aca="false">Sheet1_Original_Data!N67</f>
        <v>133279.38</v>
      </c>
      <c r="O68" s="4" t="n">
        <f aca="false">IF(Sheet1_Original_Data!J67="",MEDIAN(Sheet1_Original_Data!$J$4:$J$323),Sheet1_Original_Data!J67)</f>
        <v>1.11</v>
      </c>
      <c r="P68" s="4" t="n">
        <f aca="false">IF(Sheet1_Original_Data!L67="",MEDIAN(Sheet1_Original_Data!$L$4:$L$323),Sheet1_Original_Data!L67)</f>
        <v>3.5</v>
      </c>
    </row>
    <row r="69" customFormat="false" ht="15" hidden="false" customHeight="false" outlineLevel="0" collapsed="false">
      <c r="A69" s="6" t="str">
        <f aca="false">Sheet1_Original_Data!A68</f>
        <v>STR-1017</v>
      </c>
      <c r="B69" s="6" t="str">
        <f aca="false">Sheet1_Original_Data!B68</f>
        <v>2025-01-01</v>
      </c>
      <c r="C69" s="6" t="str">
        <f aca="false">Sheet1_Original_Data!C68</f>
        <v>West</v>
      </c>
      <c r="D69" s="6" t="str">
        <f aca="false">Sheet1_Original_Data!D68</f>
        <v>High Street</v>
      </c>
      <c r="E69" s="6" t="n">
        <f aca="false">Sheet1_Original_Data!E68</f>
        <v>70040.31</v>
      </c>
      <c r="F69" s="6" t="n">
        <f aca="false">Sheet1_Original_Data!F68</f>
        <v>9175</v>
      </c>
      <c r="G69" s="6" t="n">
        <f aca="false">Sheet1_Original_Data!G68</f>
        <v>0.107</v>
      </c>
      <c r="H69" s="6" t="n">
        <f aca="false">Sheet1_Original_Data!H68</f>
        <v>23</v>
      </c>
      <c r="I69" s="6" t="n">
        <f aca="false">Sheet1_Original_Data!I68</f>
        <v>95.1</v>
      </c>
      <c r="J69" s="6" t="n">
        <f aca="false">Sheet1_Original_Data!J68</f>
        <v>6.08</v>
      </c>
      <c r="K69" s="6" t="n">
        <f aca="false">Sheet1_Original_Data!K68</f>
        <v>1</v>
      </c>
      <c r="L69" s="6" t="n">
        <f aca="false">Sheet1_Original_Data!L68</f>
        <v>3.4</v>
      </c>
      <c r="M69" s="6" t="n">
        <f aca="false">Sheet1_Original_Data!M68</f>
        <v>784502.68</v>
      </c>
      <c r="N69" s="6" t="n">
        <f aca="false">Sheet1_Original_Data!N68</f>
        <v>129519.72</v>
      </c>
      <c r="O69" s="4" t="n">
        <f aca="false">IF(Sheet1_Original_Data!J68="",MEDIAN(Sheet1_Original_Data!$J$4:$J$323),Sheet1_Original_Data!J68)</f>
        <v>6.08</v>
      </c>
      <c r="P69" s="4" t="n">
        <f aca="false">IF(Sheet1_Original_Data!L68="",MEDIAN(Sheet1_Original_Data!$L$4:$L$323),Sheet1_Original_Data!L68)</f>
        <v>3.4</v>
      </c>
    </row>
    <row r="70" customFormat="false" ht="15" hidden="false" customHeight="false" outlineLevel="0" collapsed="false">
      <c r="A70" s="6" t="str">
        <f aca="false">Sheet1_Original_Data!A69</f>
        <v>STR-1017</v>
      </c>
      <c r="B70" s="6" t="str">
        <f aca="false">Sheet1_Original_Data!B69</f>
        <v>2025-02-01</v>
      </c>
      <c r="C70" s="6" t="str">
        <f aca="false">Sheet1_Original_Data!C69</f>
        <v>West</v>
      </c>
      <c r="D70" s="6" t="str">
        <f aca="false">Sheet1_Original_Data!D69</f>
        <v>High Street</v>
      </c>
      <c r="E70" s="6" t="n">
        <f aca="false">Sheet1_Original_Data!E69</f>
        <v>51148.69</v>
      </c>
      <c r="F70" s="6" t="n">
        <f aca="false">Sheet1_Original_Data!F69</f>
        <v>7940</v>
      </c>
      <c r="G70" s="6" t="n">
        <f aca="false">Sheet1_Original_Data!G69</f>
        <v>0.156</v>
      </c>
      <c r="H70" s="6" t="n">
        <f aca="false">Sheet1_Original_Data!H69</f>
        <v>18</v>
      </c>
      <c r="I70" s="6" t="n">
        <f aca="false">Sheet1_Original_Data!I69</f>
        <v>93.3</v>
      </c>
      <c r="J70" s="6" t="n">
        <f aca="false">Sheet1_Original_Data!J69</f>
        <v>10.91</v>
      </c>
      <c r="K70" s="6" t="n">
        <f aca="false">Sheet1_Original_Data!K69</f>
        <v>0</v>
      </c>
      <c r="L70" s="6" t="n">
        <f aca="false">Sheet1_Original_Data!L69</f>
        <v>3.6</v>
      </c>
      <c r="M70" s="6" t="n">
        <f aca="false">Sheet1_Original_Data!M69</f>
        <v>717141.55</v>
      </c>
      <c r="N70" s="6" t="n">
        <f aca="false">Sheet1_Original_Data!N69</f>
        <v>134013.61</v>
      </c>
      <c r="O70" s="4" t="n">
        <f aca="false">IF(Sheet1_Original_Data!J69="",MEDIAN(Sheet1_Original_Data!$J$4:$J$323),Sheet1_Original_Data!J69)</f>
        <v>10.91</v>
      </c>
      <c r="P70" s="4" t="n">
        <f aca="false">IF(Sheet1_Original_Data!L69="",MEDIAN(Sheet1_Original_Data!$L$4:$L$323),Sheet1_Original_Data!L69)</f>
        <v>3.6</v>
      </c>
    </row>
    <row r="71" customFormat="false" ht="15" hidden="false" customHeight="false" outlineLevel="0" collapsed="false">
      <c r="A71" s="6" t="str">
        <f aca="false">Sheet1_Original_Data!A70</f>
        <v>STR-1017</v>
      </c>
      <c r="B71" s="6" t="str">
        <f aca="false">Sheet1_Original_Data!B70</f>
        <v>2025-03-01</v>
      </c>
      <c r="C71" s="6" t="str">
        <f aca="false">Sheet1_Original_Data!C70</f>
        <v>West</v>
      </c>
      <c r="D71" s="6" t="str">
        <f aca="false">Sheet1_Original_Data!D70</f>
        <v>High Street</v>
      </c>
      <c r="E71" s="6" t="n">
        <f aca="false">Sheet1_Original_Data!E70</f>
        <v>79346.1</v>
      </c>
      <c r="F71" s="6" t="n">
        <f aca="false">Sheet1_Original_Data!F70</f>
        <v>9628</v>
      </c>
      <c r="G71" s="6" t="n">
        <f aca="false">Sheet1_Original_Data!G70</f>
        <v>0.102</v>
      </c>
      <c r="H71" s="6" t="n">
        <f aca="false">Sheet1_Original_Data!H70</f>
        <v>20</v>
      </c>
      <c r="I71" s="6" t="n">
        <f aca="false">Sheet1_Original_Data!I70</f>
        <v>99</v>
      </c>
      <c r="J71" s="6" t="n">
        <f aca="false">Sheet1_Original_Data!J70</f>
        <v>19.01</v>
      </c>
      <c r="K71" s="6" t="n">
        <f aca="false">Sheet1_Original_Data!K70</f>
        <v>1</v>
      </c>
      <c r="L71" s="6" t="n">
        <f aca="false">Sheet1_Original_Data!L70</f>
        <v>3.2</v>
      </c>
      <c r="M71" s="6" t="n">
        <f aca="false">Sheet1_Original_Data!M70</f>
        <v>685379.08</v>
      </c>
      <c r="N71" s="6" t="n">
        <f aca="false">Sheet1_Original_Data!N70</f>
        <v>106898.82</v>
      </c>
      <c r="O71" s="4" t="n">
        <f aca="false">IF(Sheet1_Original_Data!J70="",MEDIAN(Sheet1_Original_Data!$J$4:$J$323),Sheet1_Original_Data!J70)</f>
        <v>19.01</v>
      </c>
      <c r="P71" s="4" t="n">
        <f aca="false">IF(Sheet1_Original_Data!L70="",MEDIAN(Sheet1_Original_Data!$L$4:$L$323),Sheet1_Original_Data!L70)</f>
        <v>3.2</v>
      </c>
    </row>
    <row r="72" customFormat="false" ht="15" hidden="false" customHeight="false" outlineLevel="0" collapsed="false">
      <c r="A72" s="6" t="str">
        <f aca="false">Sheet1_Original_Data!A71</f>
        <v>STR-1017</v>
      </c>
      <c r="B72" s="6" t="str">
        <f aca="false">Sheet1_Original_Data!B71</f>
        <v>2025-04-01</v>
      </c>
      <c r="C72" s="6" t="str">
        <f aca="false">Sheet1_Original_Data!C71</f>
        <v>West</v>
      </c>
      <c r="D72" s="6" t="str">
        <f aca="false">Sheet1_Original_Data!D71</f>
        <v>High Street</v>
      </c>
      <c r="E72" s="6" t="n">
        <f aca="false">Sheet1_Original_Data!E71</f>
        <v>42018.4</v>
      </c>
      <c r="F72" s="6" t="n">
        <f aca="false">Sheet1_Original_Data!F71</f>
        <v>8296</v>
      </c>
      <c r="G72" s="6" t="n">
        <f aca="false">Sheet1_Original_Data!G71</f>
        <v>0.115</v>
      </c>
      <c r="H72" s="6" t="n">
        <f aca="false">Sheet1_Original_Data!H71</f>
        <v>17</v>
      </c>
      <c r="I72" s="6" t="n">
        <f aca="false">Sheet1_Original_Data!I71</f>
        <v>91.8</v>
      </c>
      <c r="J72" s="6" t="n">
        <f aca="false">Sheet1_Original_Data!J71</f>
        <v>0.77</v>
      </c>
      <c r="K72" s="6" t="n">
        <f aca="false">Sheet1_Original_Data!K71</f>
        <v>0</v>
      </c>
      <c r="L72" s="6" t="n">
        <f aca="false">Sheet1_Original_Data!L71</f>
        <v>3.4</v>
      </c>
      <c r="M72" s="6" t="n">
        <f aca="false">Sheet1_Original_Data!M71</f>
        <v>740496.65</v>
      </c>
      <c r="N72" s="6" t="n">
        <f aca="false">Sheet1_Original_Data!N71</f>
        <v>128020.9</v>
      </c>
      <c r="O72" s="4" t="n">
        <f aca="false">IF(Sheet1_Original_Data!J71="",MEDIAN(Sheet1_Original_Data!$J$4:$J$323),Sheet1_Original_Data!J71)</f>
        <v>0.77</v>
      </c>
      <c r="P72" s="4" t="n">
        <f aca="false">IF(Sheet1_Original_Data!L71="",MEDIAN(Sheet1_Original_Data!$L$4:$L$323),Sheet1_Original_Data!L71)</f>
        <v>3.4</v>
      </c>
    </row>
    <row r="73" customFormat="false" ht="15" hidden="false" customHeight="false" outlineLevel="0" collapsed="false">
      <c r="A73" s="6" t="str">
        <f aca="false">Sheet1_Original_Data!A72</f>
        <v>STR-1018</v>
      </c>
      <c r="B73" s="6" t="str">
        <f aca="false">Sheet1_Original_Data!B72</f>
        <v>2025-01-01</v>
      </c>
      <c r="C73" s="6" t="str">
        <f aca="false">Sheet1_Original_Data!C72</f>
        <v>East</v>
      </c>
      <c r="D73" s="6" t="str">
        <f aca="false">Sheet1_Original_Data!D72</f>
        <v>High Street</v>
      </c>
      <c r="E73" s="6" t="n">
        <f aca="false">Sheet1_Original_Data!E72</f>
        <v>70937.24</v>
      </c>
      <c r="F73" s="6" t="n">
        <f aca="false">Sheet1_Original_Data!F72</f>
        <v>3595</v>
      </c>
      <c r="G73" s="6" t="n">
        <f aca="false">Sheet1_Original_Data!G72</f>
        <v>0.141</v>
      </c>
      <c r="H73" s="6" t="n">
        <f aca="false">Sheet1_Original_Data!H72</f>
        <v>11</v>
      </c>
      <c r="I73" s="6" t="n">
        <f aca="false">Sheet1_Original_Data!I72</f>
        <v>88.9</v>
      </c>
      <c r="J73" s="6" t="n">
        <f aca="false">Sheet1_Original_Data!J72</f>
        <v>2.83</v>
      </c>
      <c r="K73" s="6" t="n">
        <f aca="false">Sheet1_Original_Data!K72</f>
        <v>1</v>
      </c>
      <c r="L73" s="6" t="n">
        <f aca="false">Sheet1_Original_Data!L72</f>
        <v>3.3</v>
      </c>
      <c r="M73" s="6" t="n">
        <f aca="false">Sheet1_Original_Data!M72</f>
        <v>661927.14</v>
      </c>
      <c r="N73" s="6" t="n">
        <f aca="false">Sheet1_Original_Data!N72</f>
        <v>79218.57</v>
      </c>
      <c r="O73" s="4" t="n">
        <f aca="false">IF(Sheet1_Original_Data!J72="",MEDIAN(Sheet1_Original_Data!$J$4:$J$323),Sheet1_Original_Data!J72)</f>
        <v>2.83</v>
      </c>
      <c r="P73" s="4" t="n">
        <f aca="false">IF(Sheet1_Original_Data!L72="",MEDIAN(Sheet1_Original_Data!$L$4:$L$323),Sheet1_Original_Data!L72)</f>
        <v>3.3</v>
      </c>
    </row>
    <row r="74" customFormat="false" ht="15" hidden="false" customHeight="false" outlineLevel="0" collapsed="false">
      <c r="A74" s="6" t="str">
        <f aca="false">Sheet1_Original_Data!A73</f>
        <v>STR-1018</v>
      </c>
      <c r="B74" s="6" t="str">
        <f aca="false">Sheet1_Original_Data!B73</f>
        <v>2025-02-01</v>
      </c>
      <c r="C74" s="6" t="str">
        <f aca="false">Sheet1_Original_Data!C73</f>
        <v>East</v>
      </c>
      <c r="D74" s="6" t="str">
        <f aca="false">Sheet1_Original_Data!D73</f>
        <v>High Street</v>
      </c>
      <c r="E74" s="6" t="n">
        <f aca="false">Sheet1_Original_Data!E73</f>
        <v>36813.45</v>
      </c>
      <c r="F74" s="6" t="n">
        <f aca="false">Sheet1_Original_Data!F73</f>
        <v>2834</v>
      </c>
      <c r="G74" s="6" t="n">
        <f aca="false">Sheet1_Original_Data!G73</f>
        <v>0.191</v>
      </c>
      <c r="H74" s="6" t="n">
        <f aca="false">Sheet1_Original_Data!H73</f>
        <v>11</v>
      </c>
      <c r="I74" s="6" t="n">
        <f aca="false">Sheet1_Original_Data!I73</f>
        <v>81.8</v>
      </c>
      <c r="J74" s="6" t="n">
        <f aca="false">Sheet1_Original_Data!J73</f>
        <v>2.33</v>
      </c>
      <c r="K74" s="6" t="n">
        <f aca="false">Sheet1_Original_Data!K73</f>
        <v>0</v>
      </c>
      <c r="L74" s="6" t="n">
        <f aca="false">Sheet1_Original_Data!L73</f>
        <v>3.3</v>
      </c>
      <c r="M74" s="6" t="n">
        <f aca="false">Sheet1_Original_Data!M73</f>
        <v>479050.5</v>
      </c>
      <c r="N74" s="6" t="n">
        <f aca="false">Sheet1_Original_Data!N73</f>
        <v>53651.11</v>
      </c>
      <c r="O74" s="4" t="n">
        <f aca="false">IF(Sheet1_Original_Data!J73="",MEDIAN(Sheet1_Original_Data!$J$4:$J$323),Sheet1_Original_Data!J73)</f>
        <v>2.33</v>
      </c>
      <c r="P74" s="4" t="n">
        <f aca="false">IF(Sheet1_Original_Data!L73="",MEDIAN(Sheet1_Original_Data!$L$4:$L$323),Sheet1_Original_Data!L73)</f>
        <v>3.3</v>
      </c>
    </row>
    <row r="75" customFormat="false" ht="15" hidden="false" customHeight="false" outlineLevel="0" collapsed="false">
      <c r="A75" s="6" t="str">
        <f aca="false">Sheet1_Original_Data!A74</f>
        <v>STR-1018</v>
      </c>
      <c r="B75" s="6" t="str">
        <f aca="false">Sheet1_Original_Data!B74</f>
        <v>2025-03-01</v>
      </c>
      <c r="C75" s="6" t="str">
        <f aca="false">Sheet1_Original_Data!C74</f>
        <v>East</v>
      </c>
      <c r="D75" s="6" t="str">
        <f aca="false">Sheet1_Original_Data!D74</f>
        <v>High Street</v>
      </c>
      <c r="E75" s="6" t="n">
        <f aca="false">Sheet1_Original_Data!E74</f>
        <v>60571.82</v>
      </c>
      <c r="F75" s="6" t="n">
        <f aca="false">Sheet1_Original_Data!F74</f>
        <v>3193</v>
      </c>
      <c r="G75" s="6" t="n">
        <f aca="false">Sheet1_Original_Data!G74</f>
        <v>0.197</v>
      </c>
      <c r="H75" s="6" t="n">
        <f aca="false">Sheet1_Original_Data!H74</f>
        <v>7</v>
      </c>
      <c r="I75" s="6" t="n">
        <f aca="false">Sheet1_Original_Data!I74</f>
        <v>99</v>
      </c>
      <c r="J75" s="6" t="n">
        <f aca="false">Sheet1_Original_Data!J74</f>
        <v>1.43</v>
      </c>
      <c r="K75" s="6" t="n">
        <f aca="false">Sheet1_Original_Data!K74</f>
        <v>0</v>
      </c>
      <c r="L75" s="6" t="n">
        <f aca="false">Sheet1_Original_Data!L74</f>
        <v>3.2</v>
      </c>
      <c r="M75" s="6" t="n">
        <f aca="false">Sheet1_Original_Data!M74</f>
        <v>605023.87</v>
      </c>
      <c r="N75" s="6" t="n">
        <f aca="false">Sheet1_Original_Data!N74</f>
        <v>98545.81</v>
      </c>
      <c r="O75" s="4" t="n">
        <f aca="false">IF(Sheet1_Original_Data!J74="",MEDIAN(Sheet1_Original_Data!$J$4:$J$323),Sheet1_Original_Data!J74)</f>
        <v>1.43</v>
      </c>
      <c r="P75" s="4" t="n">
        <f aca="false">IF(Sheet1_Original_Data!L74="",MEDIAN(Sheet1_Original_Data!$L$4:$L$323),Sheet1_Original_Data!L74)</f>
        <v>3.2</v>
      </c>
    </row>
    <row r="76" customFormat="false" ht="15" hidden="false" customHeight="false" outlineLevel="0" collapsed="false">
      <c r="A76" s="6" t="str">
        <f aca="false">Sheet1_Original_Data!A75</f>
        <v>STR-1018</v>
      </c>
      <c r="B76" s="6" t="str">
        <f aca="false">Sheet1_Original_Data!B75</f>
        <v>2025-04-01</v>
      </c>
      <c r="C76" s="6" t="str">
        <f aca="false">Sheet1_Original_Data!C75</f>
        <v>East</v>
      </c>
      <c r="D76" s="6" t="str">
        <f aca="false">Sheet1_Original_Data!D75</f>
        <v>High Street</v>
      </c>
      <c r="E76" s="6" t="n">
        <f aca="false">Sheet1_Original_Data!E75</f>
        <v>55081.16</v>
      </c>
      <c r="F76" s="6" t="n">
        <f aca="false">Sheet1_Original_Data!F75</f>
        <v>5485</v>
      </c>
      <c r="G76" s="6" t="n">
        <f aca="false">Sheet1_Original_Data!G75</f>
        <v>0.036</v>
      </c>
      <c r="H76" s="6" t="n">
        <f aca="false">Sheet1_Original_Data!H75</f>
        <v>12</v>
      </c>
      <c r="I76" s="6" t="n">
        <f aca="false">Sheet1_Original_Data!I75</f>
        <v>88</v>
      </c>
      <c r="J76" s="6" t="n">
        <f aca="false">Sheet1_Original_Data!J75</f>
        <v>0</v>
      </c>
      <c r="K76" s="6" t="n">
        <f aca="false">Sheet1_Original_Data!K75</f>
        <v>0</v>
      </c>
      <c r="L76" s="6" t="n">
        <f aca="false">Sheet1_Original_Data!L75</f>
        <v>3.5</v>
      </c>
      <c r="M76" s="6" t="n">
        <f aca="false">Sheet1_Original_Data!M75</f>
        <v>674774.09</v>
      </c>
      <c r="N76" s="6" t="n">
        <f aca="false">Sheet1_Original_Data!N75</f>
        <v>141917.59</v>
      </c>
      <c r="O76" s="4" t="n">
        <f aca="false">IF(Sheet1_Original_Data!J75="",MEDIAN(Sheet1_Original_Data!$J$4:$J$323),Sheet1_Original_Data!J75)</f>
        <v>3.365</v>
      </c>
      <c r="P76" s="4" t="n">
        <f aca="false">IF(Sheet1_Original_Data!L75="",MEDIAN(Sheet1_Original_Data!$L$4:$L$323),Sheet1_Original_Data!L75)</f>
        <v>3.5</v>
      </c>
    </row>
    <row r="77" customFormat="false" ht="15" hidden="false" customHeight="false" outlineLevel="0" collapsed="false">
      <c r="A77" s="6" t="str">
        <f aca="false">Sheet1_Original_Data!A76</f>
        <v>STR-1019</v>
      </c>
      <c r="B77" s="6" t="str">
        <f aca="false">Sheet1_Original_Data!B76</f>
        <v>2025-01-01</v>
      </c>
      <c r="C77" s="6" t="str">
        <f aca="false">Sheet1_Original_Data!C76</f>
        <v>East</v>
      </c>
      <c r="D77" s="6" t="str">
        <f aca="false">Sheet1_Original_Data!D76</f>
        <v>Residential</v>
      </c>
      <c r="E77" s="6" t="n">
        <f aca="false">Sheet1_Original_Data!E76</f>
        <v>46201.46</v>
      </c>
      <c r="F77" s="6" t="n">
        <f aca="false">Sheet1_Original_Data!F76</f>
        <v>5918</v>
      </c>
      <c r="G77" s="6" t="n">
        <f aca="false">Sheet1_Original_Data!G76</f>
        <v>0.277</v>
      </c>
      <c r="H77" s="6" t="n">
        <f aca="false">Sheet1_Original_Data!H76</f>
        <v>13</v>
      </c>
      <c r="I77" s="6" t="n">
        <f aca="false">Sheet1_Original_Data!I76</f>
        <v>78.8</v>
      </c>
      <c r="J77" s="6" t="n">
        <f aca="false">Sheet1_Original_Data!J76</f>
        <v>4.91</v>
      </c>
      <c r="K77" s="6" t="n">
        <f aca="false">Sheet1_Original_Data!K76</f>
        <v>0</v>
      </c>
      <c r="L77" s="6" t="n">
        <f aca="false">Sheet1_Original_Data!L76</f>
        <v>4.5</v>
      </c>
      <c r="M77" s="6" t="n">
        <f aca="false">Sheet1_Original_Data!M76</f>
        <v>616069.41</v>
      </c>
      <c r="N77" s="6" t="n">
        <f aca="false">Sheet1_Original_Data!N76</f>
        <v>54453.99</v>
      </c>
      <c r="O77" s="4" t="n">
        <f aca="false">IF(Sheet1_Original_Data!J76="",MEDIAN(Sheet1_Original_Data!$J$4:$J$323),Sheet1_Original_Data!J76)</f>
        <v>4.91</v>
      </c>
      <c r="P77" s="4" t="n">
        <f aca="false">IF(Sheet1_Original_Data!L76="",MEDIAN(Sheet1_Original_Data!$L$4:$L$323),Sheet1_Original_Data!L76)</f>
        <v>4.5</v>
      </c>
    </row>
    <row r="78" customFormat="false" ht="15" hidden="false" customHeight="false" outlineLevel="0" collapsed="false">
      <c r="A78" s="6" t="str">
        <f aca="false">Sheet1_Original_Data!A77</f>
        <v>STR-1019</v>
      </c>
      <c r="B78" s="6" t="str">
        <f aca="false">Sheet1_Original_Data!B77</f>
        <v>2025-02-01</v>
      </c>
      <c r="C78" s="6" t="str">
        <f aca="false">Sheet1_Original_Data!C77</f>
        <v>East</v>
      </c>
      <c r="D78" s="6" t="str">
        <f aca="false">Sheet1_Original_Data!D77</f>
        <v>Residential</v>
      </c>
      <c r="E78" s="6" t="n">
        <f aca="false">Sheet1_Original_Data!E77</f>
        <v>53762.92</v>
      </c>
      <c r="F78" s="6" t="n">
        <f aca="false">Sheet1_Original_Data!F77</f>
        <v>6821</v>
      </c>
      <c r="G78" s="6" t="n">
        <f aca="false">Sheet1_Original_Data!G77</f>
        <v>0.066</v>
      </c>
      <c r="H78" s="6" t="n">
        <f aca="false">Sheet1_Original_Data!H77</f>
        <v>19</v>
      </c>
      <c r="I78" s="6" t="n">
        <f aca="false">Sheet1_Original_Data!I77</f>
        <v>94.6</v>
      </c>
      <c r="J78" s="6" t="n">
        <f aca="false">Sheet1_Original_Data!J77</f>
        <v>7.03</v>
      </c>
      <c r="K78" s="6" t="n">
        <f aca="false">Sheet1_Original_Data!K77</f>
        <v>0</v>
      </c>
      <c r="L78" s="6" t="n">
        <f aca="false">Sheet1_Original_Data!L77</f>
        <v>4.4</v>
      </c>
      <c r="M78" s="6" t="n">
        <f aca="false">Sheet1_Original_Data!M77</f>
        <v>630829.94</v>
      </c>
      <c r="N78" s="6" t="n">
        <f aca="false">Sheet1_Original_Data!N77</f>
        <v>117090.02</v>
      </c>
      <c r="O78" s="4" t="n">
        <f aca="false">IF(Sheet1_Original_Data!J77="",MEDIAN(Sheet1_Original_Data!$J$4:$J$323),Sheet1_Original_Data!J77)</f>
        <v>7.03</v>
      </c>
      <c r="P78" s="4" t="n">
        <f aca="false">IF(Sheet1_Original_Data!L77="",MEDIAN(Sheet1_Original_Data!$L$4:$L$323),Sheet1_Original_Data!L77)</f>
        <v>4.4</v>
      </c>
    </row>
    <row r="79" customFormat="false" ht="15" hidden="false" customHeight="false" outlineLevel="0" collapsed="false">
      <c r="A79" s="6" t="str">
        <f aca="false">Sheet1_Original_Data!A78</f>
        <v>STR-1019</v>
      </c>
      <c r="B79" s="6" t="str">
        <f aca="false">Sheet1_Original_Data!B78</f>
        <v>2025-03-01</v>
      </c>
      <c r="C79" s="6" t="str">
        <f aca="false">Sheet1_Original_Data!C78</f>
        <v>East</v>
      </c>
      <c r="D79" s="6" t="str">
        <f aca="false">Sheet1_Original_Data!D78</f>
        <v>Residential</v>
      </c>
      <c r="E79" s="6" t="n">
        <f aca="false">Sheet1_Original_Data!E78</f>
        <v>70144.78</v>
      </c>
      <c r="F79" s="6" t="n">
        <f aca="false">Sheet1_Original_Data!F78</f>
        <v>6806</v>
      </c>
      <c r="G79" s="6" t="n">
        <f aca="false">Sheet1_Original_Data!G78</f>
        <v>0.178</v>
      </c>
      <c r="H79" s="6" t="n">
        <f aca="false">Sheet1_Original_Data!H78</f>
        <v>20</v>
      </c>
      <c r="I79" s="6" t="n">
        <f aca="false">Sheet1_Original_Data!I78</f>
        <v>93.1</v>
      </c>
      <c r="J79" s="6" t="n">
        <f aca="false">Sheet1_Original_Data!J78</f>
        <v>0.28</v>
      </c>
      <c r="K79" s="6" t="n">
        <f aca="false">Sheet1_Original_Data!K78</f>
        <v>1</v>
      </c>
      <c r="L79" s="6" t="n">
        <f aca="false">Sheet1_Original_Data!L78</f>
        <v>4.3</v>
      </c>
      <c r="M79" s="6" t="n">
        <f aca="false">Sheet1_Original_Data!M78</f>
        <v>788087.68</v>
      </c>
      <c r="N79" s="6" t="n">
        <f aca="false">Sheet1_Original_Data!N78</f>
        <v>116803.42</v>
      </c>
      <c r="O79" s="4" t="n">
        <f aca="false">IF(Sheet1_Original_Data!J78="",MEDIAN(Sheet1_Original_Data!$J$4:$J$323),Sheet1_Original_Data!J78)</f>
        <v>0.28</v>
      </c>
      <c r="P79" s="4" t="n">
        <f aca="false">IF(Sheet1_Original_Data!L78="",MEDIAN(Sheet1_Original_Data!$L$4:$L$323),Sheet1_Original_Data!L78)</f>
        <v>4.3</v>
      </c>
    </row>
    <row r="80" customFormat="false" ht="15" hidden="false" customHeight="false" outlineLevel="0" collapsed="false">
      <c r="A80" s="6" t="str">
        <f aca="false">Sheet1_Original_Data!A79</f>
        <v>STR-1019</v>
      </c>
      <c r="B80" s="6" t="str">
        <f aca="false">Sheet1_Original_Data!B79</f>
        <v>2025-04-01</v>
      </c>
      <c r="C80" s="6" t="str">
        <f aca="false">Sheet1_Original_Data!C79</f>
        <v>East</v>
      </c>
      <c r="D80" s="6" t="str">
        <f aca="false">Sheet1_Original_Data!D79</f>
        <v>Residential</v>
      </c>
      <c r="E80" s="6" t="n">
        <f aca="false">Sheet1_Original_Data!E79</f>
        <v>58749.63</v>
      </c>
      <c r="F80" s="6" t="n">
        <f aca="false">Sheet1_Original_Data!F79</f>
        <v>8252</v>
      </c>
      <c r="G80" s="6" t="n">
        <f aca="false">Sheet1_Original_Data!G79</f>
        <v>0.203</v>
      </c>
      <c r="H80" s="6" t="n">
        <f aca="false">Sheet1_Original_Data!H79</f>
        <v>20</v>
      </c>
      <c r="I80" s="6" t="n">
        <f aca="false">Sheet1_Original_Data!I79</f>
        <v>85.2</v>
      </c>
      <c r="J80" s="6" t="n">
        <f aca="false">Sheet1_Original_Data!J79</f>
        <v>3.61</v>
      </c>
      <c r="K80" s="6" t="n">
        <f aca="false">Sheet1_Original_Data!K79</f>
        <v>0</v>
      </c>
      <c r="L80" s="6" t="n">
        <f aca="false">Sheet1_Original_Data!L79</f>
        <v>4.5</v>
      </c>
      <c r="M80" s="6" t="n">
        <f aca="false">Sheet1_Original_Data!M79</f>
        <v>680840.36</v>
      </c>
      <c r="N80" s="6" t="n">
        <f aca="false">Sheet1_Original_Data!N79</f>
        <v>68007.68</v>
      </c>
      <c r="O80" s="4" t="n">
        <f aca="false">IF(Sheet1_Original_Data!J79="",MEDIAN(Sheet1_Original_Data!$J$4:$J$323),Sheet1_Original_Data!J79)</f>
        <v>3.61</v>
      </c>
      <c r="P80" s="4" t="n">
        <f aca="false">IF(Sheet1_Original_Data!L79="",MEDIAN(Sheet1_Original_Data!$L$4:$L$323),Sheet1_Original_Data!L79)</f>
        <v>4.5</v>
      </c>
    </row>
    <row r="81" customFormat="false" ht="15" hidden="false" customHeight="false" outlineLevel="0" collapsed="false">
      <c r="A81" s="6" t="str">
        <f aca="false">Sheet1_Original_Data!A80</f>
        <v>STR-1020</v>
      </c>
      <c r="B81" s="6" t="str">
        <f aca="false">Sheet1_Original_Data!B80</f>
        <v>2025-01-01</v>
      </c>
      <c r="C81" s="6" t="str">
        <f aca="false">Sheet1_Original_Data!C80</f>
        <v>South</v>
      </c>
      <c r="D81" s="6" t="str">
        <f aca="false">Sheet1_Original_Data!D80</f>
        <v>High Street</v>
      </c>
      <c r="E81" s="6" t="n">
        <f aca="false">Sheet1_Original_Data!E80</f>
        <v>56973.18</v>
      </c>
      <c r="F81" s="6" t="n">
        <f aca="false">Sheet1_Original_Data!F80</f>
        <v>6662</v>
      </c>
      <c r="G81" s="6" t="n">
        <f aca="false">Sheet1_Original_Data!G80</f>
        <v>0.1</v>
      </c>
      <c r="H81" s="6" t="n">
        <f aca="false">Sheet1_Original_Data!H80</f>
        <v>15</v>
      </c>
      <c r="I81" s="6" t="n">
        <f aca="false">Sheet1_Original_Data!I80</f>
        <v>77.7</v>
      </c>
      <c r="J81" s="6" t="n">
        <f aca="false">Sheet1_Original_Data!J80</f>
        <v>7.52</v>
      </c>
      <c r="K81" s="6" t="n">
        <f aca="false">Sheet1_Original_Data!K80</f>
        <v>1</v>
      </c>
      <c r="L81" s="6" t="n">
        <f aca="false">Sheet1_Original_Data!L80</f>
        <v>3.2</v>
      </c>
      <c r="M81" s="6" t="n">
        <f aca="false">Sheet1_Original_Data!M80</f>
        <v>643657.47</v>
      </c>
      <c r="N81" s="6" t="n">
        <f aca="false">Sheet1_Original_Data!N80</f>
        <v>87022.45</v>
      </c>
      <c r="O81" s="4" t="n">
        <f aca="false">IF(Sheet1_Original_Data!J80="",MEDIAN(Sheet1_Original_Data!$J$4:$J$323),Sheet1_Original_Data!J80)</f>
        <v>7.52</v>
      </c>
      <c r="P81" s="4" t="n">
        <f aca="false">IF(Sheet1_Original_Data!L80="",MEDIAN(Sheet1_Original_Data!$L$4:$L$323),Sheet1_Original_Data!L80)</f>
        <v>3.2</v>
      </c>
    </row>
    <row r="82" customFormat="false" ht="15" hidden="false" customHeight="false" outlineLevel="0" collapsed="false">
      <c r="A82" s="6" t="str">
        <f aca="false">Sheet1_Original_Data!A81</f>
        <v>STR-1020</v>
      </c>
      <c r="B82" s="6" t="str">
        <f aca="false">Sheet1_Original_Data!B81</f>
        <v>2025-02-01</v>
      </c>
      <c r="C82" s="6" t="str">
        <f aca="false">Sheet1_Original_Data!C81</f>
        <v>South</v>
      </c>
      <c r="D82" s="6" t="str">
        <f aca="false">Sheet1_Original_Data!D81</f>
        <v>High Street</v>
      </c>
      <c r="E82" s="6" t="n">
        <f aca="false">Sheet1_Original_Data!E81</f>
        <v>54872.82</v>
      </c>
      <c r="F82" s="6" t="n">
        <f aca="false">Sheet1_Original_Data!F81</f>
        <v>5962</v>
      </c>
      <c r="G82" s="6" t="n">
        <f aca="false">Sheet1_Original_Data!G81</f>
        <v>0.064</v>
      </c>
      <c r="H82" s="6" t="n">
        <f aca="false">Sheet1_Original_Data!H81</f>
        <v>12</v>
      </c>
      <c r="I82" s="6" t="n">
        <f aca="false">Sheet1_Original_Data!I81</f>
        <v>85.4</v>
      </c>
      <c r="J82" s="6" t="n">
        <f aca="false">Sheet1_Original_Data!J81</f>
        <v>2.58</v>
      </c>
      <c r="K82" s="6" t="n">
        <f aca="false">Sheet1_Original_Data!K81</f>
        <v>0</v>
      </c>
      <c r="L82" s="6" t="n">
        <f aca="false">Sheet1_Original_Data!L81</f>
        <v>2.9</v>
      </c>
      <c r="M82" s="6" t="n">
        <f aca="false">Sheet1_Original_Data!M81</f>
        <v>691112.6</v>
      </c>
      <c r="N82" s="6" t="n">
        <f aca="false">Sheet1_Original_Data!N81</f>
        <v>109212.83</v>
      </c>
      <c r="O82" s="4" t="n">
        <f aca="false">IF(Sheet1_Original_Data!J81="",MEDIAN(Sheet1_Original_Data!$J$4:$J$323),Sheet1_Original_Data!J81)</f>
        <v>2.58</v>
      </c>
      <c r="P82" s="4" t="n">
        <f aca="false">IF(Sheet1_Original_Data!L81="",MEDIAN(Sheet1_Original_Data!$L$4:$L$323),Sheet1_Original_Data!L81)</f>
        <v>2.9</v>
      </c>
    </row>
    <row r="83" customFormat="false" ht="15" hidden="false" customHeight="false" outlineLevel="0" collapsed="false">
      <c r="A83" s="6" t="str">
        <f aca="false">Sheet1_Original_Data!A82</f>
        <v>STR-1020</v>
      </c>
      <c r="B83" s="6" t="str">
        <f aca="false">Sheet1_Original_Data!B82</f>
        <v>2025-03-01</v>
      </c>
      <c r="C83" s="6" t="str">
        <f aca="false">Sheet1_Original_Data!C82</f>
        <v>South</v>
      </c>
      <c r="D83" s="6" t="str">
        <f aca="false">Sheet1_Original_Data!D82</f>
        <v>High Street</v>
      </c>
      <c r="E83" s="6" t="n">
        <f aca="false">Sheet1_Original_Data!E82</f>
        <v>80562.81</v>
      </c>
      <c r="F83" s="6" t="n">
        <f aca="false">Sheet1_Original_Data!F82</f>
        <v>7470</v>
      </c>
      <c r="G83" s="6" t="n">
        <f aca="false">Sheet1_Original_Data!G82</f>
        <v>0.172</v>
      </c>
      <c r="H83" s="6" t="n">
        <f aca="false">Sheet1_Original_Data!H82</f>
        <v>16</v>
      </c>
      <c r="I83" s="6" t="n">
        <f aca="false">Sheet1_Original_Data!I82</f>
        <v>83.5</v>
      </c>
      <c r="J83" s="6" t="n">
        <f aca="false">Sheet1_Original_Data!J82</f>
        <v>2.29</v>
      </c>
      <c r="K83" s="6" t="n">
        <f aca="false">Sheet1_Original_Data!K82</f>
        <v>0</v>
      </c>
      <c r="L83" s="6" t="n">
        <f aca="false">Sheet1_Original_Data!L82</f>
        <v>3.3</v>
      </c>
      <c r="M83" s="6" t="n">
        <f aca="false">Sheet1_Original_Data!M82</f>
        <v>776922.17</v>
      </c>
      <c r="N83" s="6" t="n">
        <f aca="false">Sheet1_Original_Data!N82</f>
        <v>150701.93</v>
      </c>
      <c r="O83" s="4" t="n">
        <f aca="false">IF(Sheet1_Original_Data!J82="",MEDIAN(Sheet1_Original_Data!$J$4:$J$323),Sheet1_Original_Data!J82)</f>
        <v>2.29</v>
      </c>
      <c r="P83" s="4" t="n">
        <f aca="false">IF(Sheet1_Original_Data!L82="",MEDIAN(Sheet1_Original_Data!$L$4:$L$323),Sheet1_Original_Data!L82)</f>
        <v>3.3</v>
      </c>
    </row>
    <row r="84" customFormat="false" ht="15" hidden="false" customHeight="false" outlineLevel="0" collapsed="false">
      <c r="A84" s="6" t="str">
        <f aca="false">Sheet1_Original_Data!A83</f>
        <v>STR-1020</v>
      </c>
      <c r="B84" s="6" t="str">
        <f aca="false">Sheet1_Original_Data!B83</f>
        <v>2025-04-01</v>
      </c>
      <c r="C84" s="6" t="str">
        <f aca="false">Sheet1_Original_Data!C83</f>
        <v>South</v>
      </c>
      <c r="D84" s="6" t="str">
        <f aca="false">Sheet1_Original_Data!D83</f>
        <v>High Street</v>
      </c>
      <c r="E84" s="6" t="n">
        <f aca="false">Sheet1_Original_Data!E83</f>
        <v>77999.9</v>
      </c>
      <c r="F84" s="6" t="n">
        <f aca="false">Sheet1_Original_Data!F83</f>
        <v>5974</v>
      </c>
      <c r="G84" s="6" t="n">
        <f aca="false">Sheet1_Original_Data!G83</f>
        <v>0.252</v>
      </c>
      <c r="H84" s="6" t="n">
        <f aca="false">Sheet1_Original_Data!H83</f>
        <v>14</v>
      </c>
      <c r="I84" s="6" t="n">
        <f aca="false">Sheet1_Original_Data!I83</f>
        <v>81.3</v>
      </c>
      <c r="J84" s="6" t="n">
        <f aca="false">Sheet1_Original_Data!J83</f>
        <v>2.39</v>
      </c>
      <c r="K84" s="6" t="n">
        <f aca="false">Sheet1_Original_Data!K83</f>
        <v>0</v>
      </c>
      <c r="L84" s="6" t="n">
        <f aca="false">Sheet1_Original_Data!L83</f>
        <v>3.2</v>
      </c>
      <c r="M84" s="6" t="n">
        <f aca="false">Sheet1_Original_Data!M83</f>
        <v>636561.34</v>
      </c>
      <c r="N84" s="6" t="n">
        <f aca="false">Sheet1_Original_Data!N83</f>
        <v>93861.06</v>
      </c>
      <c r="O84" s="4" t="n">
        <f aca="false">IF(Sheet1_Original_Data!J83="",MEDIAN(Sheet1_Original_Data!$J$4:$J$323),Sheet1_Original_Data!J83)</f>
        <v>2.39</v>
      </c>
      <c r="P84" s="4" t="n">
        <f aca="false">IF(Sheet1_Original_Data!L83="",MEDIAN(Sheet1_Original_Data!$L$4:$L$323),Sheet1_Original_Data!L83)</f>
        <v>3.2</v>
      </c>
    </row>
    <row r="85" customFormat="false" ht="15" hidden="false" customHeight="false" outlineLevel="0" collapsed="false">
      <c r="A85" s="6" t="str">
        <f aca="false">Sheet1_Original_Data!A84</f>
        <v>STR-1021</v>
      </c>
      <c r="B85" s="6" t="str">
        <f aca="false">Sheet1_Original_Data!B84</f>
        <v>2025-01-01</v>
      </c>
      <c r="C85" s="6" t="str">
        <f aca="false">Sheet1_Original_Data!C84</f>
        <v>West</v>
      </c>
      <c r="D85" s="6" t="str">
        <f aca="false">Sheet1_Original_Data!D84</f>
        <v>Mall</v>
      </c>
      <c r="E85" s="6" t="n">
        <f aca="false">Sheet1_Original_Data!E84</f>
        <v>60881.01</v>
      </c>
      <c r="F85" s="6" t="n">
        <f aca="false">Sheet1_Original_Data!F84</f>
        <v>5410</v>
      </c>
      <c r="G85" s="6" t="n">
        <f aca="false">Sheet1_Original_Data!G84</f>
        <v>0.179</v>
      </c>
      <c r="H85" s="6" t="n">
        <f aca="false">Sheet1_Original_Data!H84</f>
        <v>15</v>
      </c>
      <c r="I85" s="6" t="n">
        <f aca="false">Sheet1_Original_Data!I84</f>
        <v>83.9</v>
      </c>
      <c r="J85" s="6" t="n">
        <f aca="false">Sheet1_Original_Data!J84</f>
        <v>5.24</v>
      </c>
      <c r="K85" s="6" t="n">
        <f aca="false">Sheet1_Original_Data!K84</f>
        <v>0</v>
      </c>
      <c r="L85" s="6" t="n">
        <f aca="false">Sheet1_Original_Data!L84</f>
        <v>4.6</v>
      </c>
      <c r="M85" s="6" t="n">
        <f aca="false">Sheet1_Original_Data!M84</f>
        <v>621369.58</v>
      </c>
      <c r="N85" s="6" t="n">
        <f aca="false">Sheet1_Original_Data!N84</f>
        <v>85493.64</v>
      </c>
      <c r="O85" s="4" t="n">
        <f aca="false">IF(Sheet1_Original_Data!J84="",MEDIAN(Sheet1_Original_Data!$J$4:$J$323),Sheet1_Original_Data!J84)</f>
        <v>5.24</v>
      </c>
      <c r="P85" s="4" t="n">
        <f aca="false">IF(Sheet1_Original_Data!L84="",MEDIAN(Sheet1_Original_Data!$L$4:$L$323),Sheet1_Original_Data!L84)</f>
        <v>4.6</v>
      </c>
    </row>
    <row r="86" customFormat="false" ht="15" hidden="false" customHeight="false" outlineLevel="0" collapsed="false">
      <c r="A86" s="6" t="str">
        <f aca="false">Sheet1_Original_Data!A85</f>
        <v>STR-1021</v>
      </c>
      <c r="B86" s="6" t="str">
        <f aca="false">Sheet1_Original_Data!B85</f>
        <v>2025-02-01</v>
      </c>
      <c r="C86" s="6" t="str">
        <f aca="false">Sheet1_Original_Data!C85</f>
        <v>West</v>
      </c>
      <c r="D86" s="6" t="str">
        <f aca="false">Sheet1_Original_Data!D85</f>
        <v>Mall</v>
      </c>
      <c r="E86" s="6" t="n">
        <f aca="false">Sheet1_Original_Data!E85</f>
        <v>60628.38</v>
      </c>
      <c r="F86" s="6" t="n">
        <f aca="false">Sheet1_Original_Data!F85</f>
        <v>4451</v>
      </c>
      <c r="G86" s="6" t="n">
        <f aca="false">Sheet1_Original_Data!G85</f>
        <v>0.095</v>
      </c>
      <c r="H86" s="6" t="n">
        <f aca="false">Sheet1_Original_Data!H85</f>
        <v>10</v>
      </c>
      <c r="I86" s="6" t="n">
        <f aca="false">Sheet1_Original_Data!I85</f>
        <v>89.6</v>
      </c>
      <c r="J86" s="6" t="n">
        <f aca="false">Sheet1_Original_Data!J85</f>
        <v>3.17</v>
      </c>
      <c r="K86" s="6" t="n">
        <f aca="false">Sheet1_Original_Data!K85</f>
        <v>0</v>
      </c>
      <c r="L86" s="6" t="n">
        <f aca="false">Sheet1_Original_Data!L85</f>
        <v>4.6</v>
      </c>
      <c r="M86" s="6" t="n">
        <f aca="false">Sheet1_Original_Data!M85</f>
        <v>682208.01</v>
      </c>
      <c r="N86" s="6" t="n">
        <f aca="false">Sheet1_Original_Data!N85</f>
        <v>110318.84</v>
      </c>
      <c r="O86" s="4" t="n">
        <f aca="false">IF(Sheet1_Original_Data!J85="",MEDIAN(Sheet1_Original_Data!$J$4:$J$323),Sheet1_Original_Data!J85)</f>
        <v>3.17</v>
      </c>
      <c r="P86" s="4" t="n">
        <f aca="false">IF(Sheet1_Original_Data!L85="",MEDIAN(Sheet1_Original_Data!$L$4:$L$323),Sheet1_Original_Data!L85)</f>
        <v>4.6</v>
      </c>
    </row>
    <row r="87" customFormat="false" ht="15" hidden="false" customHeight="false" outlineLevel="0" collapsed="false">
      <c r="A87" s="6" t="str">
        <f aca="false">Sheet1_Original_Data!A86</f>
        <v>STR-1021</v>
      </c>
      <c r="B87" s="6" t="str">
        <f aca="false">Sheet1_Original_Data!B86</f>
        <v>2025-03-01</v>
      </c>
      <c r="C87" s="6" t="str">
        <f aca="false">Sheet1_Original_Data!C86</f>
        <v>West</v>
      </c>
      <c r="D87" s="6" t="str">
        <f aca="false">Sheet1_Original_Data!D86</f>
        <v>Mall</v>
      </c>
      <c r="E87" s="6" t="n">
        <f aca="false">Sheet1_Original_Data!E86</f>
        <v>72731.14</v>
      </c>
      <c r="F87" s="6" t="n">
        <f aca="false">Sheet1_Original_Data!F86</f>
        <v>4644</v>
      </c>
      <c r="G87" s="6" t="n">
        <f aca="false">Sheet1_Original_Data!G86</f>
        <v>0.084</v>
      </c>
      <c r="H87" s="6" t="n">
        <f aca="false">Sheet1_Original_Data!H86</f>
        <v>15</v>
      </c>
      <c r="I87" s="6" t="n">
        <f aca="false">Sheet1_Original_Data!I86</f>
        <v>87.1</v>
      </c>
      <c r="J87" s="6" t="n">
        <f aca="false">Sheet1_Original_Data!J86</f>
        <v>2.66</v>
      </c>
      <c r="K87" s="6" t="n">
        <f aca="false">Sheet1_Original_Data!K86</f>
        <v>0</v>
      </c>
      <c r="L87" s="6" t="n">
        <f aca="false">Sheet1_Original_Data!L86</f>
        <v>4.6</v>
      </c>
      <c r="M87" s="6" t="n">
        <f aca="false">Sheet1_Original_Data!M86</f>
        <v>727241.86</v>
      </c>
      <c r="N87" s="6" t="n">
        <f aca="false">Sheet1_Original_Data!N86</f>
        <v>155810.3</v>
      </c>
      <c r="O87" s="4" t="n">
        <f aca="false">IF(Sheet1_Original_Data!J86="",MEDIAN(Sheet1_Original_Data!$J$4:$J$323),Sheet1_Original_Data!J86)</f>
        <v>2.66</v>
      </c>
      <c r="P87" s="4" t="n">
        <f aca="false">IF(Sheet1_Original_Data!L86="",MEDIAN(Sheet1_Original_Data!$L$4:$L$323),Sheet1_Original_Data!L86)</f>
        <v>4.6</v>
      </c>
    </row>
    <row r="88" customFormat="false" ht="15" hidden="false" customHeight="false" outlineLevel="0" collapsed="false">
      <c r="A88" s="6" t="str">
        <f aca="false">Sheet1_Original_Data!A87</f>
        <v>STR-1021</v>
      </c>
      <c r="B88" s="6" t="str">
        <f aca="false">Sheet1_Original_Data!B87</f>
        <v>2025-04-01</v>
      </c>
      <c r="C88" s="6" t="str">
        <f aca="false">Sheet1_Original_Data!C87</f>
        <v>West</v>
      </c>
      <c r="D88" s="6" t="str">
        <f aca="false">Sheet1_Original_Data!D87</f>
        <v>Mall</v>
      </c>
      <c r="E88" s="6" t="n">
        <f aca="false">Sheet1_Original_Data!E87</f>
        <v>36475.71</v>
      </c>
      <c r="F88" s="6" t="n">
        <f aca="false">Sheet1_Original_Data!F87</f>
        <v>3559</v>
      </c>
      <c r="G88" s="6" t="n">
        <f aca="false">Sheet1_Original_Data!G87</f>
        <v>0.03</v>
      </c>
      <c r="H88" s="6" t="n">
        <f aca="false">Sheet1_Original_Data!H87</f>
        <v>8</v>
      </c>
      <c r="I88" s="6" t="n">
        <f aca="false">Sheet1_Original_Data!I87</f>
        <v>83.6</v>
      </c>
      <c r="J88" s="6" t="n">
        <f aca="false">Sheet1_Original_Data!J87</f>
        <v>1.41</v>
      </c>
      <c r="K88" s="6" t="n">
        <f aca="false">Sheet1_Original_Data!K87</f>
        <v>0</v>
      </c>
      <c r="L88" s="6" t="n">
        <f aca="false">Sheet1_Original_Data!L87</f>
        <v>4.2</v>
      </c>
      <c r="M88" s="6" t="n">
        <f aca="false">Sheet1_Original_Data!M87</f>
        <v>569100.78</v>
      </c>
      <c r="N88" s="6" t="n">
        <f aca="false">Sheet1_Original_Data!N87</f>
        <v>104808.78</v>
      </c>
      <c r="O88" s="4" t="n">
        <f aca="false">IF(Sheet1_Original_Data!J87="",MEDIAN(Sheet1_Original_Data!$J$4:$J$323),Sheet1_Original_Data!J87)</f>
        <v>1.41</v>
      </c>
      <c r="P88" s="4" t="n">
        <f aca="false">IF(Sheet1_Original_Data!L87="",MEDIAN(Sheet1_Original_Data!$L$4:$L$323),Sheet1_Original_Data!L87)</f>
        <v>4.2</v>
      </c>
    </row>
    <row r="89" customFormat="false" ht="15" hidden="false" customHeight="false" outlineLevel="0" collapsed="false">
      <c r="A89" s="6" t="str">
        <f aca="false">Sheet1_Original_Data!A88</f>
        <v>STR-1022</v>
      </c>
      <c r="B89" s="6" t="str">
        <f aca="false">Sheet1_Original_Data!B88</f>
        <v>2025-01-01</v>
      </c>
      <c r="C89" s="6" t="str">
        <f aca="false">Sheet1_Original_Data!C88</f>
        <v>West</v>
      </c>
      <c r="D89" s="6" t="str">
        <f aca="false">Sheet1_Original_Data!D88</f>
        <v>High Street</v>
      </c>
      <c r="E89" s="6" t="n">
        <f aca="false">Sheet1_Original_Data!E88</f>
        <v>55388.11</v>
      </c>
      <c r="F89" s="6" t="n">
        <f aca="false">Sheet1_Original_Data!F88</f>
        <v>3091</v>
      </c>
      <c r="G89" s="6" t="n">
        <f aca="false">Sheet1_Original_Data!G88</f>
        <v>0.108</v>
      </c>
      <c r="H89" s="6" t="n">
        <f aca="false">Sheet1_Original_Data!H88</f>
        <v>7</v>
      </c>
      <c r="I89" s="6" t="n">
        <f aca="false">Sheet1_Original_Data!I88</f>
        <v>85.4</v>
      </c>
      <c r="J89" s="6" t="n">
        <f aca="false">Sheet1_Original_Data!J88</f>
        <v>7.34</v>
      </c>
      <c r="K89" s="6" t="n">
        <f aca="false">Sheet1_Original_Data!K88</f>
        <v>0</v>
      </c>
      <c r="L89" s="6" t="n">
        <f aca="false">Sheet1_Original_Data!L88</f>
        <v>4.9</v>
      </c>
      <c r="M89" s="6" t="n">
        <f aca="false">Sheet1_Original_Data!M88</f>
        <v>574436.29</v>
      </c>
      <c r="N89" s="6" t="n">
        <f aca="false">Sheet1_Original_Data!N88</f>
        <v>80271.99</v>
      </c>
      <c r="O89" s="4" t="n">
        <f aca="false">IF(Sheet1_Original_Data!J88="",MEDIAN(Sheet1_Original_Data!$J$4:$J$323),Sheet1_Original_Data!J88)</f>
        <v>7.34</v>
      </c>
      <c r="P89" s="4" t="n">
        <f aca="false">IF(Sheet1_Original_Data!L88="",MEDIAN(Sheet1_Original_Data!$L$4:$L$323),Sheet1_Original_Data!L88)</f>
        <v>4.9</v>
      </c>
    </row>
    <row r="90" customFormat="false" ht="15" hidden="false" customHeight="false" outlineLevel="0" collapsed="false">
      <c r="A90" s="6" t="str">
        <f aca="false">Sheet1_Original_Data!A89</f>
        <v>STR-1022</v>
      </c>
      <c r="B90" s="6" t="str">
        <f aca="false">Sheet1_Original_Data!B89</f>
        <v>2025-02-01</v>
      </c>
      <c r="C90" s="6" t="str">
        <f aca="false">Sheet1_Original_Data!C89</f>
        <v>West</v>
      </c>
      <c r="D90" s="6" t="str">
        <f aca="false">Sheet1_Original_Data!D89</f>
        <v>High Street</v>
      </c>
      <c r="E90" s="6" t="n">
        <f aca="false">Sheet1_Original_Data!E89</f>
        <v>88443.77</v>
      </c>
      <c r="F90" s="6" t="n">
        <f aca="false">Sheet1_Original_Data!F89</f>
        <v>4004</v>
      </c>
      <c r="G90" s="6" t="n">
        <f aca="false">Sheet1_Original_Data!G89</f>
        <v>0.206</v>
      </c>
      <c r="H90" s="6" t="n">
        <f aca="false">Sheet1_Original_Data!H89</f>
        <v>11</v>
      </c>
      <c r="I90" s="6" t="n">
        <f aca="false">Sheet1_Original_Data!I89</f>
        <v>91.9</v>
      </c>
      <c r="J90" s="6" t="n">
        <f aca="false">Sheet1_Original_Data!J89</f>
        <v>5.95</v>
      </c>
      <c r="K90" s="6" t="n">
        <f aca="false">Sheet1_Original_Data!K89</f>
        <v>0</v>
      </c>
      <c r="L90" s="6" t="n">
        <f aca="false">Sheet1_Original_Data!L89</f>
        <v>0</v>
      </c>
      <c r="M90" s="6" t="n">
        <f aca="false">Sheet1_Original_Data!M89</f>
        <v>611766.72</v>
      </c>
      <c r="N90" s="6" t="n">
        <f aca="false">Sheet1_Original_Data!N89</f>
        <v>88275.61</v>
      </c>
      <c r="O90" s="4" t="n">
        <f aca="false">IF(Sheet1_Original_Data!J89="",MEDIAN(Sheet1_Original_Data!$J$4:$J$323),Sheet1_Original_Data!J89)</f>
        <v>5.95</v>
      </c>
      <c r="P90" s="4" t="n">
        <f aca="false">IF(Sheet1_Original_Data!L89="",MEDIAN(Sheet1_Original_Data!$L$4:$L$323),Sheet1_Original_Data!L89)</f>
        <v>3.9</v>
      </c>
    </row>
    <row r="91" customFormat="false" ht="15" hidden="false" customHeight="false" outlineLevel="0" collapsed="false">
      <c r="A91" s="6" t="str">
        <f aca="false">Sheet1_Original_Data!A90</f>
        <v>STR-1022</v>
      </c>
      <c r="B91" s="6" t="str">
        <f aca="false">Sheet1_Original_Data!B90</f>
        <v>2025-03-01</v>
      </c>
      <c r="C91" s="6" t="str">
        <f aca="false">Sheet1_Original_Data!C90</f>
        <v>West</v>
      </c>
      <c r="D91" s="6" t="str">
        <f aca="false">Sheet1_Original_Data!D90</f>
        <v>High Street</v>
      </c>
      <c r="E91" s="6" t="n">
        <f aca="false">Sheet1_Original_Data!E90</f>
        <v>78231.91</v>
      </c>
      <c r="F91" s="6" t="n">
        <f aca="false">Sheet1_Original_Data!F90</f>
        <v>3788</v>
      </c>
      <c r="G91" s="6" t="n">
        <f aca="false">Sheet1_Original_Data!G90</f>
        <v>0.059</v>
      </c>
      <c r="H91" s="6" t="n">
        <f aca="false">Sheet1_Original_Data!H90</f>
        <v>11</v>
      </c>
      <c r="I91" s="6" t="n">
        <f aca="false">Sheet1_Original_Data!I90</f>
        <v>88.5</v>
      </c>
      <c r="J91" s="6" t="n">
        <f aca="false">Sheet1_Original_Data!J90</f>
        <v>15.51</v>
      </c>
      <c r="K91" s="6" t="n">
        <f aca="false">Sheet1_Original_Data!K90</f>
        <v>0</v>
      </c>
      <c r="L91" s="6" t="n">
        <f aca="false">Sheet1_Original_Data!L90</f>
        <v>4.3</v>
      </c>
      <c r="M91" s="6" t="n">
        <f aca="false">Sheet1_Original_Data!M90</f>
        <v>614596.32</v>
      </c>
      <c r="N91" s="6" t="n">
        <f aca="false">Sheet1_Original_Data!N90</f>
        <v>131199.41</v>
      </c>
      <c r="O91" s="4" t="n">
        <f aca="false">IF(Sheet1_Original_Data!J90="",MEDIAN(Sheet1_Original_Data!$J$4:$J$323),Sheet1_Original_Data!J90)</f>
        <v>15.51</v>
      </c>
      <c r="P91" s="4" t="n">
        <f aca="false">IF(Sheet1_Original_Data!L90="",MEDIAN(Sheet1_Original_Data!$L$4:$L$323),Sheet1_Original_Data!L90)</f>
        <v>4.3</v>
      </c>
    </row>
    <row r="92" customFormat="false" ht="15" hidden="false" customHeight="false" outlineLevel="0" collapsed="false">
      <c r="A92" s="6" t="str">
        <f aca="false">Sheet1_Original_Data!A91</f>
        <v>STR-1022</v>
      </c>
      <c r="B92" s="6" t="str">
        <f aca="false">Sheet1_Original_Data!B91</f>
        <v>2025-04-01</v>
      </c>
      <c r="C92" s="6" t="str">
        <f aca="false">Sheet1_Original_Data!C91</f>
        <v>West</v>
      </c>
      <c r="D92" s="6" t="str">
        <f aca="false">Sheet1_Original_Data!D91</f>
        <v>High Street</v>
      </c>
      <c r="E92" s="6" t="n">
        <f aca="false">Sheet1_Original_Data!E91</f>
        <v>18996.32</v>
      </c>
      <c r="F92" s="6" t="n">
        <f aca="false">Sheet1_Original_Data!F91</f>
        <v>1260</v>
      </c>
      <c r="G92" s="6" t="n">
        <f aca="false">Sheet1_Original_Data!G91</f>
        <v>0.145</v>
      </c>
      <c r="H92" s="6" t="n">
        <f aca="false">Sheet1_Original_Data!H91</f>
        <v>9</v>
      </c>
      <c r="I92" s="6" t="n">
        <f aca="false">Sheet1_Original_Data!I91</f>
        <v>86.4</v>
      </c>
      <c r="J92" s="6" t="n">
        <f aca="false">Sheet1_Original_Data!J91</f>
        <v>4.31</v>
      </c>
      <c r="K92" s="6" t="n">
        <f aca="false">Sheet1_Original_Data!K91</f>
        <v>0</v>
      </c>
      <c r="L92" s="6" t="n">
        <f aca="false">Sheet1_Original_Data!L91</f>
        <v>4.6</v>
      </c>
      <c r="M92" s="6" t="n">
        <f aca="false">Sheet1_Original_Data!M91</f>
        <v>450711.92</v>
      </c>
      <c r="N92" s="6" t="n">
        <f aca="false">Sheet1_Original_Data!N91</f>
        <v>90043.76</v>
      </c>
      <c r="O92" s="4" t="n">
        <f aca="false">IF(Sheet1_Original_Data!J91="",MEDIAN(Sheet1_Original_Data!$J$4:$J$323),Sheet1_Original_Data!J91)</f>
        <v>4.31</v>
      </c>
      <c r="P92" s="4" t="n">
        <f aca="false">IF(Sheet1_Original_Data!L91="",MEDIAN(Sheet1_Original_Data!$L$4:$L$323),Sheet1_Original_Data!L91)</f>
        <v>4.6</v>
      </c>
    </row>
    <row r="93" customFormat="false" ht="15" hidden="false" customHeight="false" outlineLevel="0" collapsed="false">
      <c r="A93" s="6" t="str">
        <f aca="false">Sheet1_Original_Data!A92</f>
        <v>STR-1023</v>
      </c>
      <c r="B93" s="6" t="str">
        <f aca="false">Sheet1_Original_Data!B92</f>
        <v>2025-01-01</v>
      </c>
      <c r="C93" s="6" t="str">
        <f aca="false">Sheet1_Original_Data!C92</f>
        <v>South</v>
      </c>
      <c r="D93" s="6" t="str">
        <f aca="false">Sheet1_Original_Data!D92</f>
        <v>Mall</v>
      </c>
      <c r="E93" s="6" t="n">
        <f aca="false">Sheet1_Original_Data!E92</f>
        <v>50517.94</v>
      </c>
      <c r="F93" s="6" t="n">
        <f aca="false">Sheet1_Original_Data!F92</f>
        <v>7024</v>
      </c>
      <c r="G93" s="6" t="n">
        <f aca="false">Sheet1_Original_Data!G92</f>
        <v>0.029</v>
      </c>
      <c r="H93" s="6" t="n">
        <f aca="false">Sheet1_Original_Data!H92</f>
        <v>18</v>
      </c>
      <c r="I93" s="6" t="n">
        <f aca="false">Sheet1_Original_Data!I92</f>
        <v>79.2</v>
      </c>
      <c r="J93" s="6" t="n">
        <f aca="false">Sheet1_Original_Data!J92</f>
        <v>6.61</v>
      </c>
      <c r="K93" s="6" t="n">
        <f aca="false">Sheet1_Original_Data!K92</f>
        <v>1</v>
      </c>
      <c r="L93" s="6" t="n">
        <f aca="false">Sheet1_Original_Data!L92</f>
        <v>4.1</v>
      </c>
      <c r="M93" s="6" t="n">
        <f aca="false">Sheet1_Original_Data!M92</f>
        <v>711213.46</v>
      </c>
      <c r="N93" s="6" t="n">
        <f aca="false">Sheet1_Original_Data!N92</f>
        <v>105863.26</v>
      </c>
      <c r="O93" s="4" t="n">
        <f aca="false">IF(Sheet1_Original_Data!J92="",MEDIAN(Sheet1_Original_Data!$J$4:$J$323),Sheet1_Original_Data!J92)</f>
        <v>6.61</v>
      </c>
      <c r="P93" s="4" t="n">
        <f aca="false">IF(Sheet1_Original_Data!L92="",MEDIAN(Sheet1_Original_Data!$L$4:$L$323),Sheet1_Original_Data!L92)</f>
        <v>4.1</v>
      </c>
    </row>
    <row r="94" customFormat="false" ht="15" hidden="false" customHeight="false" outlineLevel="0" collapsed="false">
      <c r="A94" s="6" t="str">
        <f aca="false">Sheet1_Original_Data!A93</f>
        <v>STR-1023</v>
      </c>
      <c r="B94" s="6" t="str">
        <f aca="false">Sheet1_Original_Data!B93</f>
        <v>2025-02-01</v>
      </c>
      <c r="C94" s="6" t="str">
        <f aca="false">Sheet1_Original_Data!C93</f>
        <v>South</v>
      </c>
      <c r="D94" s="6" t="str">
        <f aca="false">Sheet1_Original_Data!D93</f>
        <v>Mall</v>
      </c>
      <c r="E94" s="6" t="n">
        <f aca="false">Sheet1_Original_Data!E93</f>
        <v>141540.29</v>
      </c>
      <c r="F94" s="6" t="n">
        <f aca="false">Sheet1_Original_Data!F93</f>
        <v>5400</v>
      </c>
      <c r="G94" s="6" t="n">
        <f aca="false">Sheet1_Original_Data!G93</f>
        <v>0.013</v>
      </c>
      <c r="H94" s="6" t="n">
        <f aca="false">Sheet1_Original_Data!H93</f>
        <v>12</v>
      </c>
      <c r="I94" s="6" t="n">
        <f aca="false">Sheet1_Original_Data!I93</f>
        <v>87</v>
      </c>
      <c r="J94" s="6" t="n">
        <f aca="false">Sheet1_Original_Data!J93</f>
        <v>4.26</v>
      </c>
      <c r="K94" s="6" t="n">
        <f aca="false">Sheet1_Original_Data!K93</f>
        <v>0</v>
      </c>
      <c r="L94" s="6" t="n">
        <f aca="false">Sheet1_Original_Data!L93</f>
        <v>4.5</v>
      </c>
      <c r="M94" s="6" t="n">
        <f aca="false">Sheet1_Original_Data!M93</f>
        <v>627171.9</v>
      </c>
      <c r="N94" s="6" t="n">
        <f aca="false">Sheet1_Original_Data!N93</f>
        <v>105772.75</v>
      </c>
      <c r="O94" s="4" t="n">
        <f aca="false">IF(Sheet1_Original_Data!J93="",MEDIAN(Sheet1_Original_Data!$J$4:$J$323),Sheet1_Original_Data!J93)</f>
        <v>4.26</v>
      </c>
      <c r="P94" s="4" t="n">
        <f aca="false">IF(Sheet1_Original_Data!L93="",MEDIAN(Sheet1_Original_Data!$L$4:$L$323),Sheet1_Original_Data!L93)</f>
        <v>4.5</v>
      </c>
    </row>
    <row r="95" customFormat="false" ht="15" hidden="false" customHeight="false" outlineLevel="0" collapsed="false">
      <c r="A95" s="6" t="str">
        <f aca="false">Sheet1_Original_Data!A94</f>
        <v>STR-1023</v>
      </c>
      <c r="B95" s="6" t="str">
        <f aca="false">Sheet1_Original_Data!B94</f>
        <v>2025-03-01</v>
      </c>
      <c r="C95" s="6" t="str">
        <f aca="false">Sheet1_Original_Data!C94</f>
        <v>South</v>
      </c>
      <c r="D95" s="6" t="str">
        <f aca="false">Sheet1_Original_Data!D94</f>
        <v>Mall</v>
      </c>
      <c r="E95" s="6" t="n">
        <f aca="false">Sheet1_Original_Data!E94</f>
        <v>82116.19</v>
      </c>
      <c r="F95" s="6" t="n">
        <f aca="false">Sheet1_Original_Data!F94</f>
        <v>5988</v>
      </c>
      <c r="G95" s="6" t="n">
        <f aca="false">Sheet1_Original_Data!G94</f>
        <v>0.04</v>
      </c>
      <c r="H95" s="6" t="n">
        <f aca="false">Sheet1_Original_Data!H94</f>
        <v>17</v>
      </c>
      <c r="I95" s="6" t="n">
        <f aca="false">Sheet1_Original_Data!I94</f>
        <v>91.8</v>
      </c>
      <c r="J95" s="6" t="n">
        <f aca="false">Sheet1_Original_Data!J94</f>
        <v>5.75</v>
      </c>
      <c r="K95" s="6" t="n">
        <f aca="false">Sheet1_Original_Data!K94</f>
        <v>0</v>
      </c>
      <c r="L95" s="6" t="n">
        <f aca="false">Sheet1_Original_Data!L94</f>
        <v>4.7</v>
      </c>
      <c r="M95" s="6" t="n">
        <f aca="false">Sheet1_Original_Data!M94</f>
        <v>739852.58</v>
      </c>
      <c r="N95" s="6" t="n">
        <f aca="false">Sheet1_Original_Data!N94</f>
        <v>129386.43</v>
      </c>
      <c r="O95" s="4" t="n">
        <f aca="false">IF(Sheet1_Original_Data!J94="",MEDIAN(Sheet1_Original_Data!$J$4:$J$323),Sheet1_Original_Data!J94)</f>
        <v>5.75</v>
      </c>
      <c r="P95" s="4" t="n">
        <f aca="false">IF(Sheet1_Original_Data!L94="",MEDIAN(Sheet1_Original_Data!$L$4:$L$323),Sheet1_Original_Data!L94)</f>
        <v>4.7</v>
      </c>
    </row>
    <row r="96" customFormat="false" ht="15" hidden="false" customHeight="false" outlineLevel="0" collapsed="false">
      <c r="A96" s="6" t="str">
        <f aca="false">Sheet1_Original_Data!A95</f>
        <v>STR-1023</v>
      </c>
      <c r="B96" s="6" t="str">
        <f aca="false">Sheet1_Original_Data!B95</f>
        <v>2025-04-01</v>
      </c>
      <c r="C96" s="6" t="str">
        <f aca="false">Sheet1_Original_Data!C95</f>
        <v>South</v>
      </c>
      <c r="D96" s="6" t="str">
        <f aca="false">Sheet1_Original_Data!D95</f>
        <v>Mall</v>
      </c>
      <c r="E96" s="6" t="n">
        <f aca="false">Sheet1_Original_Data!E95</f>
        <v>31207.51</v>
      </c>
      <c r="F96" s="6" t="n">
        <f aca="false">Sheet1_Original_Data!F95</f>
        <v>3701</v>
      </c>
      <c r="G96" s="6" t="n">
        <f aca="false">Sheet1_Original_Data!G95</f>
        <v>0.043</v>
      </c>
      <c r="H96" s="6" t="n">
        <f aca="false">Sheet1_Original_Data!H95</f>
        <v>11</v>
      </c>
      <c r="I96" s="6" t="n">
        <f aca="false">Sheet1_Original_Data!I95</f>
        <v>84.7</v>
      </c>
      <c r="J96" s="6" t="n">
        <f aca="false">Sheet1_Original_Data!J95</f>
        <v>0.33</v>
      </c>
      <c r="K96" s="6" t="n">
        <f aca="false">Sheet1_Original_Data!K95</f>
        <v>0</v>
      </c>
      <c r="L96" s="6" t="n">
        <f aca="false">Sheet1_Original_Data!L95</f>
        <v>4.3</v>
      </c>
      <c r="M96" s="6" t="n">
        <f aca="false">Sheet1_Original_Data!M95</f>
        <v>586307.22</v>
      </c>
      <c r="N96" s="6" t="n">
        <f aca="false">Sheet1_Original_Data!N95</f>
        <v>73927.85</v>
      </c>
      <c r="O96" s="4" t="n">
        <f aca="false">IF(Sheet1_Original_Data!J95="",MEDIAN(Sheet1_Original_Data!$J$4:$J$323),Sheet1_Original_Data!J95)</f>
        <v>0.33</v>
      </c>
      <c r="P96" s="4" t="n">
        <f aca="false">IF(Sheet1_Original_Data!L95="",MEDIAN(Sheet1_Original_Data!$L$4:$L$323),Sheet1_Original_Data!L95)</f>
        <v>4.3</v>
      </c>
    </row>
    <row r="97" customFormat="false" ht="15" hidden="false" customHeight="false" outlineLevel="0" collapsed="false">
      <c r="A97" s="6" t="str">
        <f aca="false">Sheet1_Original_Data!A96</f>
        <v>STR-1024</v>
      </c>
      <c r="B97" s="6" t="str">
        <f aca="false">Sheet1_Original_Data!B96</f>
        <v>2025-01-01</v>
      </c>
      <c r="C97" s="6" t="str">
        <f aca="false">Sheet1_Original_Data!C96</f>
        <v>West</v>
      </c>
      <c r="D97" s="6" t="str">
        <f aca="false">Sheet1_Original_Data!D96</f>
        <v>Residential</v>
      </c>
      <c r="E97" s="6" t="n">
        <f aca="false">Sheet1_Original_Data!E96</f>
        <v>38966.59</v>
      </c>
      <c r="F97" s="6" t="n">
        <f aca="false">Sheet1_Original_Data!F96</f>
        <v>4509</v>
      </c>
      <c r="G97" s="6" t="n">
        <f aca="false">Sheet1_Original_Data!G96</f>
        <v>0.194</v>
      </c>
      <c r="H97" s="6" t="n">
        <f aca="false">Sheet1_Original_Data!H96</f>
        <v>14</v>
      </c>
      <c r="I97" s="6" t="n">
        <f aca="false">Sheet1_Original_Data!I96</f>
        <v>91.1</v>
      </c>
      <c r="J97" s="6" t="n">
        <f aca="false">Sheet1_Original_Data!J96</f>
        <v>2.92</v>
      </c>
      <c r="K97" s="6" t="n">
        <f aca="false">Sheet1_Original_Data!K96</f>
        <v>0</v>
      </c>
      <c r="L97" s="6" t="n">
        <f aca="false">Sheet1_Original_Data!L96</f>
        <v>4.6</v>
      </c>
      <c r="M97" s="6" t="n">
        <f aca="false">Sheet1_Original_Data!M96</f>
        <v>585937.48</v>
      </c>
      <c r="N97" s="6" t="n">
        <f aca="false">Sheet1_Original_Data!N96</f>
        <v>82624.2</v>
      </c>
      <c r="O97" s="4" t="n">
        <f aca="false">IF(Sheet1_Original_Data!J96="",MEDIAN(Sheet1_Original_Data!$J$4:$J$323),Sheet1_Original_Data!J96)</f>
        <v>2.92</v>
      </c>
      <c r="P97" s="4" t="n">
        <f aca="false">IF(Sheet1_Original_Data!L96="",MEDIAN(Sheet1_Original_Data!$L$4:$L$323),Sheet1_Original_Data!L96)</f>
        <v>4.6</v>
      </c>
    </row>
    <row r="98" customFormat="false" ht="15" hidden="false" customHeight="false" outlineLevel="0" collapsed="false">
      <c r="A98" s="6" t="str">
        <f aca="false">Sheet1_Original_Data!A97</f>
        <v>STR-1024</v>
      </c>
      <c r="B98" s="6" t="str">
        <f aca="false">Sheet1_Original_Data!B97</f>
        <v>2025-02-01</v>
      </c>
      <c r="C98" s="6" t="str">
        <f aca="false">Sheet1_Original_Data!C97</f>
        <v>West</v>
      </c>
      <c r="D98" s="6" t="str">
        <f aca="false">Sheet1_Original_Data!D97</f>
        <v>Residential</v>
      </c>
      <c r="E98" s="6" t="n">
        <f aca="false">Sheet1_Original_Data!E97</f>
        <v>67439.3</v>
      </c>
      <c r="F98" s="6" t="n">
        <f aca="false">Sheet1_Original_Data!F97</f>
        <v>6477</v>
      </c>
      <c r="G98" s="6" t="n">
        <f aca="false">Sheet1_Original_Data!G97</f>
        <v>0</v>
      </c>
      <c r="H98" s="6" t="n">
        <f aca="false">Sheet1_Original_Data!H97</f>
        <v>16</v>
      </c>
      <c r="I98" s="6" t="n">
        <f aca="false">Sheet1_Original_Data!I97</f>
        <v>90.9</v>
      </c>
      <c r="J98" s="6" t="n">
        <f aca="false">Sheet1_Original_Data!J97</f>
        <v>1.64</v>
      </c>
      <c r="K98" s="6" t="n">
        <f aca="false">Sheet1_Original_Data!K97</f>
        <v>0</v>
      </c>
      <c r="L98" s="6" t="n">
        <f aca="false">Sheet1_Original_Data!L97</f>
        <v>4.5</v>
      </c>
      <c r="M98" s="6" t="n">
        <f aca="false">Sheet1_Original_Data!M97</f>
        <v>753473.55</v>
      </c>
      <c r="N98" s="6" t="n">
        <f aca="false">Sheet1_Original_Data!N97</f>
        <v>151527.22</v>
      </c>
      <c r="O98" s="4" t="n">
        <f aca="false">IF(Sheet1_Original_Data!J97="",MEDIAN(Sheet1_Original_Data!$J$4:$J$323),Sheet1_Original_Data!J97)</f>
        <v>1.64</v>
      </c>
      <c r="P98" s="4" t="n">
        <f aca="false">IF(Sheet1_Original_Data!L97="",MEDIAN(Sheet1_Original_Data!$L$4:$L$323),Sheet1_Original_Data!L97)</f>
        <v>4.5</v>
      </c>
    </row>
    <row r="99" customFormat="false" ht="15" hidden="false" customHeight="false" outlineLevel="0" collapsed="false">
      <c r="A99" s="6" t="str">
        <f aca="false">Sheet1_Original_Data!A98</f>
        <v>STR-1024</v>
      </c>
      <c r="B99" s="6" t="str">
        <f aca="false">Sheet1_Original_Data!B98</f>
        <v>2025-03-01</v>
      </c>
      <c r="C99" s="6" t="str">
        <f aca="false">Sheet1_Original_Data!C98</f>
        <v>West</v>
      </c>
      <c r="D99" s="6" t="str">
        <f aca="false">Sheet1_Original_Data!D98</f>
        <v>Residential</v>
      </c>
      <c r="E99" s="6" t="n">
        <f aca="false">Sheet1_Original_Data!E98</f>
        <v>86421.88</v>
      </c>
      <c r="F99" s="6" t="n">
        <f aca="false">Sheet1_Original_Data!F98</f>
        <v>7970</v>
      </c>
      <c r="G99" s="6" t="n">
        <f aca="false">Sheet1_Original_Data!G98</f>
        <v>0.073</v>
      </c>
      <c r="H99" s="6" t="n">
        <f aca="false">Sheet1_Original_Data!H98</f>
        <v>17</v>
      </c>
      <c r="I99" s="6" t="n">
        <f aca="false">Sheet1_Original_Data!I98</f>
        <v>91.3</v>
      </c>
      <c r="J99" s="6" t="n">
        <f aca="false">Sheet1_Original_Data!J98</f>
        <v>0.8</v>
      </c>
      <c r="K99" s="6" t="n">
        <f aca="false">Sheet1_Original_Data!K98</f>
        <v>0</v>
      </c>
      <c r="L99" s="6" t="n">
        <f aca="false">Sheet1_Original_Data!L98</f>
        <v>5</v>
      </c>
      <c r="M99" s="6" t="n">
        <f aca="false">Sheet1_Original_Data!M98</f>
        <v>838250.32</v>
      </c>
      <c r="N99" s="6" t="n">
        <f aca="false">Sheet1_Original_Data!N98</f>
        <v>122939.34</v>
      </c>
      <c r="O99" s="4" t="n">
        <f aca="false">IF(Sheet1_Original_Data!J98="",MEDIAN(Sheet1_Original_Data!$J$4:$J$323),Sheet1_Original_Data!J98)</f>
        <v>0.8</v>
      </c>
      <c r="P99" s="4" t="n">
        <f aca="false">IF(Sheet1_Original_Data!L98="",MEDIAN(Sheet1_Original_Data!$L$4:$L$323),Sheet1_Original_Data!L98)</f>
        <v>5</v>
      </c>
    </row>
    <row r="100" customFormat="false" ht="15" hidden="false" customHeight="false" outlineLevel="0" collapsed="false">
      <c r="A100" s="6" t="str">
        <f aca="false">Sheet1_Original_Data!A99</f>
        <v>STR-1024</v>
      </c>
      <c r="B100" s="6" t="str">
        <f aca="false">Sheet1_Original_Data!B99</f>
        <v>2025-04-01</v>
      </c>
      <c r="C100" s="6" t="str">
        <f aca="false">Sheet1_Original_Data!C99</f>
        <v>West</v>
      </c>
      <c r="D100" s="6" t="str">
        <f aca="false">Sheet1_Original_Data!D99</f>
        <v>Residential</v>
      </c>
      <c r="E100" s="6" t="n">
        <f aca="false">Sheet1_Original_Data!E99</f>
        <v>9534.65</v>
      </c>
      <c r="F100" s="6" t="n">
        <f aca="false">Sheet1_Original_Data!F99</f>
        <v>6057</v>
      </c>
      <c r="G100" s="6" t="n">
        <f aca="false">Sheet1_Original_Data!G99</f>
        <v>0.074</v>
      </c>
      <c r="H100" s="6" t="n">
        <f aca="false">Sheet1_Original_Data!H99</f>
        <v>15</v>
      </c>
      <c r="I100" s="6" t="n">
        <f aca="false">Sheet1_Original_Data!I99</f>
        <v>94.1</v>
      </c>
      <c r="J100" s="6" t="n">
        <f aca="false">Sheet1_Original_Data!J99</f>
        <v>5.79</v>
      </c>
      <c r="K100" s="6" t="n">
        <f aca="false">Sheet1_Original_Data!K99</f>
        <v>0</v>
      </c>
      <c r="L100" s="6" t="n">
        <f aca="false">Sheet1_Original_Data!L99</f>
        <v>4.5</v>
      </c>
      <c r="M100" s="6" t="n">
        <f aca="false">Sheet1_Original_Data!M99</f>
        <v>607898.12</v>
      </c>
      <c r="N100" s="6" t="n">
        <f aca="false">Sheet1_Original_Data!N99</f>
        <v>135404.85</v>
      </c>
      <c r="O100" s="4" t="n">
        <f aca="false">IF(Sheet1_Original_Data!J99="",MEDIAN(Sheet1_Original_Data!$J$4:$J$323),Sheet1_Original_Data!J99)</f>
        <v>5.79</v>
      </c>
      <c r="P100" s="4" t="n">
        <f aca="false">IF(Sheet1_Original_Data!L99="",MEDIAN(Sheet1_Original_Data!$L$4:$L$323),Sheet1_Original_Data!L99)</f>
        <v>4.5</v>
      </c>
    </row>
    <row r="101" customFormat="false" ht="15" hidden="false" customHeight="false" outlineLevel="0" collapsed="false">
      <c r="A101" s="6" t="str">
        <f aca="false">Sheet1_Original_Data!A100</f>
        <v>STR-1025</v>
      </c>
      <c r="B101" s="6" t="str">
        <f aca="false">Sheet1_Original_Data!B100</f>
        <v>2025-01-01</v>
      </c>
      <c r="C101" s="6" t="str">
        <f aca="false">Sheet1_Original_Data!C100</f>
        <v>West</v>
      </c>
      <c r="D101" s="6" t="str">
        <f aca="false">Sheet1_Original_Data!D100</f>
        <v>Mall</v>
      </c>
      <c r="E101" s="6" t="n">
        <f aca="false">Sheet1_Original_Data!E100</f>
        <v>61132.07</v>
      </c>
      <c r="F101" s="6" t="n">
        <f aca="false">Sheet1_Original_Data!F100</f>
        <v>6394</v>
      </c>
      <c r="G101" s="6" t="n">
        <f aca="false">Sheet1_Original_Data!G100</f>
        <v>0.163</v>
      </c>
      <c r="H101" s="6" t="n">
        <f aca="false">Sheet1_Original_Data!H100</f>
        <v>19</v>
      </c>
      <c r="I101" s="6" t="n">
        <f aca="false">Sheet1_Original_Data!I100</f>
        <v>91</v>
      </c>
      <c r="J101" s="6" t="n">
        <f aca="false">Sheet1_Original_Data!J100</f>
        <v>19.6</v>
      </c>
      <c r="K101" s="6" t="n">
        <f aca="false">Sheet1_Original_Data!K100</f>
        <v>0</v>
      </c>
      <c r="L101" s="6" t="n">
        <f aca="false">Sheet1_Original_Data!L100</f>
        <v>4.4</v>
      </c>
      <c r="M101" s="6" t="n">
        <f aca="false">Sheet1_Original_Data!M100</f>
        <v>691113.62</v>
      </c>
      <c r="N101" s="6" t="n">
        <f aca="false">Sheet1_Original_Data!N100</f>
        <v>135145.44</v>
      </c>
      <c r="O101" s="4" t="n">
        <f aca="false">IF(Sheet1_Original_Data!J100="",MEDIAN(Sheet1_Original_Data!$J$4:$J$323),Sheet1_Original_Data!J100)</f>
        <v>19.6</v>
      </c>
      <c r="P101" s="4" t="n">
        <f aca="false">IF(Sheet1_Original_Data!L100="",MEDIAN(Sheet1_Original_Data!$L$4:$L$323),Sheet1_Original_Data!L100)</f>
        <v>4.4</v>
      </c>
    </row>
    <row r="102" customFormat="false" ht="15" hidden="false" customHeight="false" outlineLevel="0" collapsed="false">
      <c r="A102" s="6" t="str">
        <f aca="false">Sheet1_Original_Data!A101</f>
        <v>STR-1025</v>
      </c>
      <c r="B102" s="6" t="str">
        <f aca="false">Sheet1_Original_Data!B101</f>
        <v>2025-02-01</v>
      </c>
      <c r="C102" s="6" t="str">
        <f aca="false">Sheet1_Original_Data!C101</f>
        <v>West</v>
      </c>
      <c r="D102" s="6" t="str">
        <f aca="false">Sheet1_Original_Data!D101</f>
        <v>Mall</v>
      </c>
      <c r="E102" s="6" t="n">
        <f aca="false">Sheet1_Original_Data!E101</f>
        <v>78839.39</v>
      </c>
      <c r="F102" s="6" t="n">
        <f aca="false">Sheet1_Original_Data!F101</f>
        <v>5150</v>
      </c>
      <c r="G102" s="6" t="n">
        <f aca="false">Sheet1_Original_Data!G101</f>
        <v>0.171</v>
      </c>
      <c r="H102" s="6" t="n">
        <f aca="false">Sheet1_Original_Data!H101</f>
        <v>13</v>
      </c>
      <c r="I102" s="6" t="n">
        <f aca="false">Sheet1_Original_Data!I101</f>
        <v>85.8</v>
      </c>
      <c r="J102" s="6" t="n">
        <f aca="false">Sheet1_Original_Data!J101</f>
        <v>7.57</v>
      </c>
      <c r="K102" s="6" t="n">
        <f aca="false">Sheet1_Original_Data!K101</f>
        <v>0</v>
      </c>
      <c r="L102" s="6" t="n">
        <f aca="false">Sheet1_Original_Data!L101</f>
        <v>4.3</v>
      </c>
      <c r="M102" s="6" t="n">
        <f aca="false">Sheet1_Original_Data!M101</f>
        <v>735509.4</v>
      </c>
      <c r="N102" s="6" t="n">
        <f aca="false">Sheet1_Original_Data!N101</f>
        <v>83895.96</v>
      </c>
      <c r="O102" s="4" t="n">
        <f aca="false">IF(Sheet1_Original_Data!J101="",MEDIAN(Sheet1_Original_Data!$J$4:$J$323),Sheet1_Original_Data!J101)</f>
        <v>7.57</v>
      </c>
      <c r="P102" s="4" t="n">
        <f aca="false">IF(Sheet1_Original_Data!L101="",MEDIAN(Sheet1_Original_Data!$L$4:$L$323),Sheet1_Original_Data!L101)</f>
        <v>4.3</v>
      </c>
    </row>
    <row r="103" customFormat="false" ht="15" hidden="false" customHeight="false" outlineLevel="0" collapsed="false">
      <c r="A103" s="6" t="str">
        <f aca="false">Sheet1_Original_Data!A102</f>
        <v>STR-1025</v>
      </c>
      <c r="B103" s="6" t="str">
        <f aca="false">Sheet1_Original_Data!B102</f>
        <v>2025-03-01</v>
      </c>
      <c r="C103" s="6" t="str">
        <f aca="false">Sheet1_Original_Data!C102</f>
        <v>West</v>
      </c>
      <c r="D103" s="6" t="str">
        <f aca="false">Sheet1_Original_Data!D102</f>
        <v>Mall</v>
      </c>
      <c r="E103" s="6" t="n">
        <f aca="false">Sheet1_Original_Data!E102</f>
        <v>38752.8</v>
      </c>
      <c r="F103" s="6" t="n">
        <f aca="false">Sheet1_Original_Data!F102</f>
        <v>4712</v>
      </c>
      <c r="G103" s="6" t="n">
        <f aca="false">Sheet1_Original_Data!G102</f>
        <v>0.075</v>
      </c>
      <c r="H103" s="6" t="n">
        <f aca="false">Sheet1_Original_Data!H102</f>
        <v>15</v>
      </c>
      <c r="I103" s="6" t="n">
        <f aca="false">Sheet1_Original_Data!I102</f>
        <v>89.7</v>
      </c>
      <c r="J103" s="6" t="n">
        <f aca="false">Sheet1_Original_Data!J102</f>
        <v>0</v>
      </c>
      <c r="K103" s="6" t="n">
        <f aca="false">Sheet1_Original_Data!K102</f>
        <v>0</v>
      </c>
      <c r="L103" s="6" t="n">
        <f aca="false">Sheet1_Original_Data!L102</f>
        <v>4.3</v>
      </c>
      <c r="M103" s="6" t="n">
        <f aca="false">Sheet1_Original_Data!M102</f>
        <v>605775.33</v>
      </c>
      <c r="N103" s="6" t="n">
        <f aca="false">Sheet1_Original_Data!N102</f>
        <v>107194.6</v>
      </c>
      <c r="O103" s="4" t="n">
        <f aca="false">IF(Sheet1_Original_Data!J102="",MEDIAN(Sheet1_Original_Data!$J$4:$J$323),Sheet1_Original_Data!J102)</f>
        <v>3.365</v>
      </c>
      <c r="P103" s="4" t="n">
        <f aca="false">IF(Sheet1_Original_Data!L102="",MEDIAN(Sheet1_Original_Data!$L$4:$L$323),Sheet1_Original_Data!L102)</f>
        <v>4.3</v>
      </c>
    </row>
    <row r="104" customFormat="false" ht="15" hidden="false" customHeight="false" outlineLevel="0" collapsed="false">
      <c r="A104" s="6" t="str">
        <f aca="false">Sheet1_Original_Data!A103</f>
        <v>STR-1025</v>
      </c>
      <c r="B104" s="6" t="str">
        <f aca="false">Sheet1_Original_Data!B103</f>
        <v>2025-04-01</v>
      </c>
      <c r="C104" s="6" t="str">
        <f aca="false">Sheet1_Original_Data!C103</f>
        <v>West</v>
      </c>
      <c r="D104" s="6" t="str">
        <f aca="false">Sheet1_Original_Data!D103</f>
        <v>Mall</v>
      </c>
      <c r="E104" s="6" t="n">
        <f aca="false">Sheet1_Original_Data!E103</f>
        <v>55101.1</v>
      </c>
      <c r="F104" s="6" t="n">
        <f aca="false">Sheet1_Original_Data!F103</f>
        <v>5281</v>
      </c>
      <c r="G104" s="6" t="n">
        <f aca="false">Sheet1_Original_Data!G103</f>
        <v>0.189</v>
      </c>
      <c r="H104" s="6" t="n">
        <f aca="false">Sheet1_Original_Data!H103</f>
        <v>11</v>
      </c>
      <c r="I104" s="6" t="n">
        <f aca="false">Sheet1_Original_Data!I103</f>
        <v>91</v>
      </c>
      <c r="J104" s="6" t="n">
        <f aca="false">Sheet1_Original_Data!J103</f>
        <v>2.7</v>
      </c>
      <c r="K104" s="6" t="n">
        <f aca="false">Sheet1_Original_Data!K103</f>
        <v>0</v>
      </c>
      <c r="L104" s="6" t="n">
        <f aca="false">Sheet1_Original_Data!L103</f>
        <v>4.4</v>
      </c>
      <c r="M104" s="6" t="n">
        <f aca="false">Sheet1_Original_Data!M103</f>
        <v>675177.68</v>
      </c>
      <c r="N104" s="6" t="n">
        <f aca="false">Sheet1_Original_Data!N103</f>
        <v>105628.68</v>
      </c>
      <c r="O104" s="4" t="n">
        <f aca="false">IF(Sheet1_Original_Data!J103="",MEDIAN(Sheet1_Original_Data!$J$4:$J$323),Sheet1_Original_Data!J103)</f>
        <v>2.7</v>
      </c>
      <c r="P104" s="4" t="n">
        <f aca="false">IF(Sheet1_Original_Data!L103="",MEDIAN(Sheet1_Original_Data!$L$4:$L$323),Sheet1_Original_Data!L103)</f>
        <v>4.4</v>
      </c>
    </row>
    <row r="105" customFormat="false" ht="15" hidden="false" customHeight="false" outlineLevel="0" collapsed="false">
      <c r="A105" s="6" t="str">
        <f aca="false">Sheet1_Original_Data!A104</f>
        <v>STR-1026</v>
      </c>
      <c r="B105" s="6" t="str">
        <f aca="false">Sheet1_Original_Data!B104</f>
        <v>2025-01-01</v>
      </c>
      <c r="C105" s="6" t="str">
        <f aca="false">Sheet1_Original_Data!C104</f>
        <v>East</v>
      </c>
      <c r="D105" s="6" t="str">
        <f aca="false">Sheet1_Original_Data!D104</f>
        <v>Mall</v>
      </c>
      <c r="E105" s="6" t="n">
        <f aca="false">Sheet1_Original_Data!E104</f>
        <v>53084.76</v>
      </c>
      <c r="F105" s="6" t="n">
        <f aca="false">Sheet1_Original_Data!F104</f>
        <v>3642</v>
      </c>
      <c r="G105" s="6" t="n">
        <f aca="false">Sheet1_Original_Data!G104</f>
        <v>0.15</v>
      </c>
      <c r="H105" s="6" t="n">
        <f aca="false">Sheet1_Original_Data!H104</f>
        <v>12</v>
      </c>
      <c r="I105" s="6" t="n">
        <f aca="false">Sheet1_Original_Data!I104</f>
        <v>91.4</v>
      </c>
      <c r="J105" s="6" t="n">
        <f aca="false">Sheet1_Original_Data!J104</f>
        <v>0.2</v>
      </c>
      <c r="K105" s="6" t="n">
        <f aca="false">Sheet1_Original_Data!K104</f>
        <v>0</v>
      </c>
      <c r="L105" s="6" t="n">
        <f aca="false">Sheet1_Original_Data!L104</f>
        <v>4.4</v>
      </c>
      <c r="M105" s="6" t="n">
        <f aca="false">Sheet1_Original_Data!M104</f>
        <v>635181.35</v>
      </c>
      <c r="N105" s="6" t="n">
        <f aca="false">Sheet1_Original_Data!N104</f>
        <v>83341.25</v>
      </c>
      <c r="O105" s="4" t="n">
        <f aca="false">IF(Sheet1_Original_Data!J104="",MEDIAN(Sheet1_Original_Data!$J$4:$J$323),Sheet1_Original_Data!J104)</f>
        <v>0.2</v>
      </c>
      <c r="P105" s="4" t="n">
        <f aca="false">IF(Sheet1_Original_Data!L104="",MEDIAN(Sheet1_Original_Data!$L$4:$L$323),Sheet1_Original_Data!L104)</f>
        <v>4.4</v>
      </c>
    </row>
    <row r="106" customFormat="false" ht="15" hidden="false" customHeight="false" outlineLevel="0" collapsed="false">
      <c r="A106" s="6" t="str">
        <f aca="false">Sheet1_Original_Data!A105</f>
        <v>STR-1026</v>
      </c>
      <c r="B106" s="6" t="str">
        <f aca="false">Sheet1_Original_Data!B105</f>
        <v>2025-02-01</v>
      </c>
      <c r="C106" s="6" t="str">
        <f aca="false">Sheet1_Original_Data!C105</f>
        <v>East</v>
      </c>
      <c r="D106" s="6" t="str">
        <f aca="false">Sheet1_Original_Data!D105</f>
        <v>Mall</v>
      </c>
      <c r="E106" s="6" t="n">
        <f aca="false">Sheet1_Original_Data!E105</f>
        <v>63101.59</v>
      </c>
      <c r="F106" s="6" t="n">
        <f aca="false">Sheet1_Original_Data!F105</f>
        <v>4373</v>
      </c>
      <c r="G106" s="6" t="n">
        <f aca="false">Sheet1_Original_Data!G105</f>
        <v>0.173</v>
      </c>
      <c r="H106" s="6" t="n">
        <f aca="false">Sheet1_Original_Data!H105</f>
        <v>14</v>
      </c>
      <c r="I106" s="6" t="n">
        <f aca="false">Sheet1_Original_Data!I105</f>
        <v>90.4</v>
      </c>
      <c r="J106" s="6" t="n">
        <f aca="false">Sheet1_Original_Data!J105</f>
        <v>7.87</v>
      </c>
      <c r="K106" s="6" t="n">
        <f aca="false">Sheet1_Original_Data!K105</f>
        <v>0</v>
      </c>
      <c r="L106" s="6" t="n">
        <f aca="false">Sheet1_Original_Data!L105</f>
        <v>4.7</v>
      </c>
      <c r="M106" s="6" t="n">
        <f aca="false">Sheet1_Original_Data!M105</f>
        <v>586626.94</v>
      </c>
      <c r="N106" s="6" t="n">
        <f aca="false">Sheet1_Original_Data!N105</f>
        <v>86498.55</v>
      </c>
      <c r="O106" s="4" t="n">
        <f aca="false">IF(Sheet1_Original_Data!J105="",MEDIAN(Sheet1_Original_Data!$J$4:$J$323),Sheet1_Original_Data!J105)</f>
        <v>7.87</v>
      </c>
      <c r="P106" s="4" t="n">
        <f aca="false">IF(Sheet1_Original_Data!L105="",MEDIAN(Sheet1_Original_Data!$L$4:$L$323),Sheet1_Original_Data!L105)</f>
        <v>4.7</v>
      </c>
    </row>
    <row r="107" customFormat="false" ht="15" hidden="false" customHeight="false" outlineLevel="0" collapsed="false">
      <c r="A107" s="6" t="str">
        <f aca="false">Sheet1_Original_Data!A106</f>
        <v>STR-1026</v>
      </c>
      <c r="B107" s="6" t="str">
        <f aca="false">Sheet1_Original_Data!B106</f>
        <v>2025-03-01</v>
      </c>
      <c r="C107" s="6" t="str">
        <f aca="false">Sheet1_Original_Data!C106</f>
        <v>East</v>
      </c>
      <c r="D107" s="6" t="str">
        <f aca="false">Sheet1_Original_Data!D106</f>
        <v>Mall</v>
      </c>
      <c r="E107" s="6" t="n">
        <f aca="false">Sheet1_Original_Data!E106</f>
        <v>90084.4</v>
      </c>
      <c r="F107" s="6" t="n">
        <f aca="false">Sheet1_Original_Data!F106</f>
        <v>6832</v>
      </c>
      <c r="G107" s="6" t="n">
        <f aca="false">Sheet1_Original_Data!G106</f>
        <v>0.185</v>
      </c>
      <c r="H107" s="6" t="n">
        <f aca="false">Sheet1_Original_Data!H106</f>
        <v>14</v>
      </c>
      <c r="I107" s="6" t="n">
        <f aca="false">Sheet1_Original_Data!I106</f>
        <v>80.5</v>
      </c>
      <c r="J107" s="6" t="n">
        <f aca="false">Sheet1_Original_Data!J106</f>
        <v>0.77</v>
      </c>
      <c r="K107" s="6" t="n">
        <f aca="false">Sheet1_Original_Data!K106</f>
        <v>1</v>
      </c>
      <c r="L107" s="6" t="n">
        <f aca="false">Sheet1_Original_Data!L106</f>
        <v>4.4</v>
      </c>
      <c r="M107" s="6" t="n">
        <f aca="false">Sheet1_Original_Data!M106</f>
        <v>740102.64</v>
      </c>
      <c r="N107" s="6" t="n">
        <f aca="false">Sheet1_Original_Data!N106</f>
        <v>114299.07</v>
      </c>
      <c r="O107" s="4" t="n">
        <f aca="false">IF(Sheet1_Original_Data!J106="",MEDIAN(Sheet1_Original_Data!$J$4:$J$323),Sheet1_Original_Data!J106)</f>
        <v>0.77</v>
      </c>
      <c r="P107" s="4" t="n">
        <f aca="false">IF(Sheet1_Original_Data!L106="",MEDIAN(Sheet1_Original_Data!$L$4:$L$323),Sheet1_Original_Data!L106)</f>
        <v>4.4</v>
      </c>
    </row>
    <row r="108" customFormat="false" ht="15" hidden="false" customHeight="false" outlineLevel="0" collapsed="false">
      <c r="A108" s="6" t="str">
        <f aca="false">Sheet1_Original_Data!A107</f>
        <v>STR-1026</v>
      </c>
      <c r="B108" s="6" t="str">
        <f aca="false">Sheet1_Original_Data!B107</f>
        <v>2025-04-01</v>
      </c>
      <c r="C108" s="6" t="str">
        <f aca="false">Sheet1_Original_Data!C107</f>
        <v>East</v>
      </c>
      <c r="D108" s="6" t="str">
        <f aca="false">Sheet1_Original_Data!D107</f>
        <v>Mall</v>
      </c>
      <c r="E108" s="6" t="n">
        <f aca="false">Sheet1_Original_Data!E107</f>
        <v>32266.64</v>
      </c>
      <c r="F108" s="6" t="n">
        <f aca="false">Sheet1_Original_Data!F107</f>
        <v>2414</v>
      </c>
      <c r="G108" s="6" t="n">
        <f aca="false">Sheet1_Original_Data!G107</f>
        <v>0.08</v>
      </c>
      <c r="H108" s="6" t="n">
        <f aca="false">Sheet1_Original_Data!H107</f>
        <v>7</v>
      </c>
      <c r="I108" s="6" t="n">
        <f aca="false">Sheet1_Original_Data!I107</f>
        <v>92.1</v>
      </c>
      <c r="J108" s="6" t="n">
        <f aca="false">Sheet1_Original_Data!J107</f>
        <v>1.48</v>
      </c>
      <c r="K108" s="6" t="n">
        <f aca="false">Sheet1_Original_Data!K107</f>
        <v>0</v>
      </c>
      <c r="L108" s="6" t="n">
        <f aca="false">Sheet1_Original_Data!L107</f>
        <v>5</v>
      </c>
      <c r="M108" s="6" t="n">
        <f aca="false">Sheet1_Original_Data!M107</f>
        <v>625514.04</v>
      </c>
      <c r="N108" s="6" t="n">
        <f aca="false">Sheet1_Original_Data!N107</f>
        <v>120685.08</v>
      </c>
      <c r="O108" s="4" t="n">
        <f aca="false">IF(Sheet1_Original_Data!J107="",MEDIAN(Sheet1_Original_Data!$J$4:$J$323),Sheet1_Original_Data!J107)</f>
        <v>1.48</v>
      </c>
      <c r="P108" s="4" t="n">
        <f aca="false">IF(Sheet1_Original_Data!L107="",MEDIAN(Sheet1_Original_Data!$L$4:$L$323),Sheet1_Original_Data!L107)</f>
        <v>5</v>
      </c>
    </row>
    <row r="109" customFormat="false" ht="15" hidden="false" customHeight="false" outlineLevel="0" collapsed="false">
      <c r="A109" s="6" t="str">
        <f aca="false">Sheet1_Original_Data!A108</f>
        <v>STR-1027</v>
      </c>
      <c r="B109" s="6" t="str">
        <f aca="false">Sheet1_Original_Data!B108</f>
        <v>2025-01-01</v>
      </c>
      <c r="C109" s="6" t="str">
        <f aca="false">Sheet1_Original_Data!C108</f>
        <v>West</v>
      </c>
      <c r="D109" s="6" t="str">
        <f aca="false">Sheet1_Original_Data!D108</f>
        <v>High Street</v>
      </c>
      <c r="E109" s="6" t="n">
        <f aca="false">Sheet1_Original_Data!E108</f>
        <v>57919.07</v>
      </c>
      <c r="F109" s="6" t="n">
        <f aca="false">Sheet1_Original_Data!F108</f>
        <v>7374</v>
      </c>
      <c r="G109" s="6" t="n">
        <f aca="false">Sheet1_Original_Data!G108</f>
        <v>0.103</v>
      </c>
      <c r="H109" s="6" t="n">
        <f aca="false">Sheet1_Original_Data!H108</f>
        <v>21</v>
      </c>
      <c r="I109" s="6" t="n">
        <f aca="false">Sheet1_Original_Data!I108</f>
        <v>82.3</v>
      </c>
      <c r="J109" s="6" t="n">
        <f aca="false">Sheet1_Original_Data!J108</f>
        <v>2.87</v>
      </c>
      <c r="K109" s="6" t="n">
        <f aca="false">Sheet1_Original_Data!K108</f>
        <v>0</v>
      </c>
      <c r="L109" s="6" t="n">
        <f aca="false">Sheet1_Original_Data!L108</f>
        <v>2.9</v>
      </c>
      <c r="M109" s="6" t="n">
        <f aca="false">Sheet1_Original_Data!M108</f>
        <v>727227.2</v>
      </c>
      <c r="N109" s="6" t="n">
        <f aca="false">Sheet1_Original_Data!N108</f>
        <v>121292.01</v>
      </c>
      <c r="O109" s="4" t="n">
        <f aca="false">IF(Sheet1_Original_Data!J108="",MEDIAN(Sheet1_Original_Data!$J$4:$J$323),Sheet1_Original_Data!J108)</f>
        <v>2.87</v>
      </c>
      <c r="P109" s="4" t="n">
        <f aca="false">IF(Sheet1_Original_Data!L108="",MEDIAN(Sheet1_Original_Data!$L$4:$L$323),Sheet1_Original_Data!L108)</f>
        <v>2.9</v>
      </c>
    </row>
    <row r="110" customFormat="false" ht="15" hidden="false" customHeight="false" outlineLevel="0" collapsed="false">
      <c r="A110" s="6" t="str">
        <f aca="false">Sheet1_Original_Data!A109</f>
        <v>STR-1027</v>
      </c>
      <c r="B110" s="6" t="str">
        <f aca="false">Sheet1_Original_Data!B109</f>
        <v>2025-02-01</v>
      </c>
      <c r="C110" s="6" t="str">
        <f aca="false">Sheet1_Original_Data!C109</f>
        <v>West</v>
      </c>
      <c r="D110" s="6" t="str">
        <f aca="false">Sheet1_Original_Data!D109</f>
        <v>High Street</v>
      </c>
      <c r="E110" s="6" t="n">
        <f aca="false">Sheet1_Original_Data!E109</f>
        <v>74679.35</v>
      </c>
      <c r="F110" s="6" t="n">
        <f aca="false">Sheet1_Original_Data!F109</f>
        <v>8739</v>
      </c>
      <c r="G110" s="6" t="n">
        <f aca="false">Sheet1_Original_Data!G109</f>
        <v>0.056</v>
      </c>
      <c r="H110" s="6" t="n">
        <f aca="false">Sheet1_Original_Data!H109</f>
        <v>21</v>
      </c>
      <c r="I110" s="6" t="n">
        <f aca="false">Sheet1_Original_Data!I109</f>
        <v>91.8</v>
      </c>
      <c r="J110" s="6" t="n">
        <f aca="false">Sheet1_Original_Data!J109</f>
        <v>2.83</v>
      </c>
      <c r="K110" s="6" t="n">
        <f aca="false">Sheet1_Original_Data!K109</f>
        <v>0</v>
      </c>
      <c r="L110" s="6" t="n">
        <f aca="false">Sheet1_Original_Data!L109</f>
        <v>3</v>
      </c>
      <c r="M110" s="6" t="n">
        <f aca="false">Sheet1_Original_Data!M109</f>
        <v>783797.89</v>
      </c>
      <c r="N110" s="6" t="n">
        <f aca="false">Sheet1_Original_Data!N109</f>
        <v>157620.7</v>
      </c>
      <c r="O110" s="4" t="n">
        <f aca="false">IF(Sheet1_Original_Data!J109="",MEDIAN(Sheet1_Original_Data!$J$4:$J$323),Sheet1_Original_Data!J109)</f>
        <v>2.83</v>
      </c>
      <c r="P110" s="4" t="n">
        <f aca="false">IF(Sheet1_Original_Data!L109="",MEDIAN(Sheet1_Original_Data!$L$4:$L$323),Sheet1_Original_Data!L109)</f>
        <v>3</v>
      </c>
    </row>
    <row r="111" customFormat="false" ht="15" hidden="false" customHeight="false" outlineLevel="0" collapsed="false">
      <c r="A111" s="6" t="str">
        <f aca="false">Sheet1_Original_Data!A110</f>
        <v>STR-1027</v>
      </c>
      <c r="B111" s="6" t="str">
        <f aca="false">Sheet1_Original_Data!B110</f>
        <v>2025-03-01</v>
      </c>
      <c r="C111" s="6" t="str">
        <f aca="false">Sheet1_Original_Data!C110</f>
        <v>West</v>
      </c>
      <c r="D111" s="6" t="str">
        <f aca="false">Sheet1_Original_Data!D110</f>
        <v>High Street</v>
      </c>
      <c r="E111" s="6" t="n">
        <f aca="false">Sheet1_Original_Data!E110</f>
        <v>64294.23</v>
      </c>
      <c r="F111" s="6" t="n">
        <f aca="false">Sheet1_Original_Data!F110</f>
        <v>6992</v>
      </c>
      <c r="G111" s="6" t="n">
        <f aca="false">Sheet1_Original_Data!G110</f>
        <v>0.133</v>
      </c>
      <c r="H111" s="6" t="n">
        <f aca="false">Sheet1_Original_Data!H110</f>
        <v>14</v>
      </c>
      <c r="I111" s="6" t="n">
        <f aca="false">Sheet1_Original_Data!I110</f>
        <v>94.1</v>
      </c>
      <c r="J111" s="6" t="n">
        <f aca="false">Sheet1_Original_Data!J110</f>
        <v>0.25</v>
      </c>
      <c r="K111" s="6" t="n">
        <f aca="false">Sheet1_Original_Data!K110</f>
        <v>0</v>
      </c>
      <c r="L111" s="6" t="n">
        <f aca="false">Sheet1_Original_Data!L110</f>
        <v>3</v>
      </c>
      <c r="M111" s="6" t="n">
        <f aca="false">Sheet1_Original_Data!M110</f>
        <v>795153.84</v>
      </c>
      <c r="N111" s="6" t="n">
        <f aca="false">Sheet1_Original_Data!N110</f>
        <v>143194.21</v>
      </c>
      <c r="O111" s="4" t="n">
        <f aca="false">IF(Sheet1_Original_Data!J110="",MEDIAN(Sheet1_Original_Data!$J$4:$J$323),Sheet1_Original_Data!J110)</f>
        <v>0.25</v>
      </c>
      <c r="P111" s="4" t="n">
        <f aca="false">IF(Sheet1_Original_Data!L110="",MEDIAN(Sheet1_Original_Data!$L$4:$L$323),Sheet1_Original_Data!L110)</f>
        <v>3</v>
      </c>
    </row>
    <row r="112" customFormat="false" ht="15" hidden="false" customHeight="false" outlineLevel="0" collapsed="false">
      <c r="A112" s="6" t="str">
        <f aca="false">Sheet1_Original_Data!A111</f>
        <v>STR-1027</v>
      </c>
      <c r="B112" s="6" t="str">
        <f aca="false">Sheet1_Original_Data!B111</f>
        <v>2025-04-01</v>
      </c>
      <c r="C112" s="6" t="str">
        <f aca="false">Sheet1_Original_Data!C111</f>
        <v>West</v>
      </c>
      <c r="D112" s="6" t="str">
        <f aca="false">Sheet1_Original_Data!D111</f>
        <v>High Street</v>
      </c>
      <c r="E112" s="6" t="n">
        <f aca="false">Sheet1_Original_Data!E111</f>
        <v>31042.03</v>
      </c>
      <c r="F112" s="6" t="n">
        <f aca="false">Sheet1_Original_Data!F111</f>
        <v>7107</v>
      </c>
      <c r="G112" s="6" t="n">
        <f aca="false">Sheet1_Original_Data!G111</f>
        <v>0.051</v>
      </c>
      <c r="H112" s="6" t="n">
        <f aca="false">Sheet1_Original_Data!H111</f>
        <v>15</v>
      </c>
      <c r="I112" s="6" t="n">
        <f aca="false">Sheet1_Original_Data!I111</f>
        <v>87</v>
      </c>
      <c r="J112" s="6" t="n">
        <f aca="false">Sheet1_Original_Data!J111</f>
        <v>13.33</v>
      </c>
      <c r="K112" s="6" t="n">
        <f aca="false">Sheet1_Original_Data!K111</f>
        <v>0</v>
      </c>
      <c r="L112" s="6" t="n">
        <f aca="false">Sheet1_Original_Data!L111</f>
        <v>3.2</v>
      </c>
      <c r="M112" s="6" t="n">
        <f aca="false">Sheet1_Original_Data!M111</f>
        <v>665594.94</v>
      </c>
      <c r="N112" s="6" t="n">
        <f aca="false">Sheet1_Original_Data!N111</f>
        <v>127597.34</v>
      </c>
      <c r="O112" s="4" t="n">
        <f aca="false">IF(Sheet1_Original_Data!J111="",MEDIAN(Sheet1_Original_Data!$J$4:$J$323),Sheet1_Original_Data!J111)</f>
        <v>13.33</v>
      </c>
      <c r="P112" s="4" t="n">
        <f aca="false">IF(Sheet1_Original_Data!L111="",MEDIAN(Sheet1_Original_Data!$L$4:$L$323),Sheet1_Original_Data!L111)</f>
        <v>3.2</v>
      </c>
    </row>
    <row r="113" customFormat="false" ht="15" hidden="false" customHeight="false" outlineLevel="0" collapsed="false">
      <c r="A113" s="6" t="str">
        <f aca="false">Sheet1_Original_Data!A112</f>
        <v>STR-1028</v>
      </c>
      <c r="B113" s="6" t="str">
        <f aca="false">Sheet1_Original_Data!B112</f>
        <v>2025-01-01</v>
      </c>
      <c r="C113" s="6" t="str">
        <f aca="false">Sheet1_Original_Data!C112</f>
        <v>East</v>
      </c>
      <c r="D113" s="6" t="str">
        <f aca="false">Sheet1_Original_Data!D112</f>
        <v>Mall</v>
      </c>
      <c r="E113" s="6" t="n">
        <f aca="false">Sheet1_Original_Data!E112</f>
        <v>75265.02</v>
      </c>
      <c r="F113" s="6" t="n">
        <f aca="false">Sheet1_Original_Data!F112</f>
        <v>6975</v>
      </c>
      <c r="G113" s="6" t="n">
        <f aca="false">Sheet1_Original_Data!G112</f>
        <v>0.157</v>
      </c>
      <c r="H113" s="6" t="n">
        <f aca="false">Sheet1_Original_Data!H112</f>
        <v>20</v>
      </c>
      <c r="I113" s="6" t="n">
        <f aca="false">Sheet1_Original_Data!I112</f>
        <v>73.8</v>
      </c>
      <c r="J113" s="6" t="n">
        <f aca="false">Sheet1_Original_Data!J112</f>
        <v>6.35</v>
      </c>
      <c r="K113" s="6" t="n">
        <f aca="false">Sheet1_Original_Data!K112</f>
        <v>1</v>
      </c>
      <c r="L113" s="6" t="n">
        <f aca="false">Sheet1_Original_Data!L112</f>
        <v>3.8</v>
      </c>
      <c r="M113" s="6" t="n">
        <f aca="false">Sheet1_Original_Data!M112</f>
        <v>709478.39</v>
      </c>
      <c r="N113" s="6" t="n">
        <f aca="false">Sheet1_Original_Data!N112</f>
        <v>71294.27</v>
      </c>
      <c r="O113" s="4" t="n">
        <f aca="false">IF(Sheet1_Original_Data!J112="",MEDIAN(Sheet1_Original_Data!$J$4:$J$323),Sheet1_Original_Data!J112)</f>
        <v>6.35</v>
      </c>
      <c r="P113" s="4" t="n">
        <f aca="false">IF(Sheet1_Original_Data!L112="",MEDIAN(Sheet1_Original_Data!$L$4:$L$323),Sheet1_Original_Data!L112)</f>
        <v>3.8</v>
      </c>
    </row>
    <row r="114" customFormat="false" ht="15" hidden="false" customHeight="false" outlineLevel="0" collapsed="false">
      <c r="A114" s="6" t="str">
        <f aca="false">Sheet1_Original_Data!A113</f>
        <v>STR-1028</v>
      </c>
      <c r="B114" s="6" t="str">
        <f aca="false">Sheet1_Original_Data!B113</f>
        <v>2025-02-01</v>
      </c>
      <c r="C114" s="6" t="str">
        <f aca="false">Sheet1_Original_Data!C113</f>
        <v>East</v>
      </c>
      <c r="D114" s="6" t="str">
        <f aca="false">Sheet1_Original_Data!D113</f>
        <v>Mall</v>
      </c>
      <c r="E114" s="6" t="n">
        <f aca="false">Sheet1_Original_Data!E113</f>
        <v>69411.7</v>
      </c>
      <c r="F114" s="6" t="n">
        <f aca="false">Sheet1_Original_Data!F113</f>
        <v>5493</v>
      </c>
      <c r="G114" s="6" t="n">
        <f aca="false">Sheet1_Original_Data!G113</f>
        <v>0.292</v>
      </c>
      <c r="H114" s="6" t="n">
        <f aca="false">Sheet1_Original_Data!H113</f>
        <v>13</v>
      </c>
      <c r="I114" s="6" t="n">
        <f aca="false">Sheet1_Original_Data!I113</f>
        <v>86.5</v>
      </c>
      <c r="J114" s="6" t="n">
        <f aca="false">Sheet1_Original_Data!J113</f>
        <v>6.69</v>
      </c>
      <c r="K114" s="6" t="n">
        <f aca="false">Sheet1_Original_Data!K113</f>
        <v>0</v>
      </c>
      <c r="L114" s="6" t="n">
        <f aca="false">Sheet1_Original_Data!L113</f>
        <v>3.8</v>
      </c>
      <c r="M114" s="6" t="n">
        <f aca="false">Sheet1_Original_Data!M113</f>
        <v>664162.49</v>
      </c>
      <c r="N114" s="6" t="n">
        <f aca="false">Sheet1_Original_Data!N113</f>
        <v>98291.06</v>
      </c>
      <c r="O114" s="4" t="n">
        <f aca="false">IF(Sheet1_Original_Data!J113="",MEDIAN(Sheet1_Original_Data!$J$4:$J$323),Sheet1_Original_Data!J113)</f>
        <v>6.69</v>
      </c>
      <c r="P114" s="4" t="n">
        <f aca="false">IF(Sheet1_Original_Data!L113="",MEDIAN(Sheet1_Original_Data!$L$4:$L$323),Sheet1_Original_Data!L113)</f>
        <v>3.8</v>
      </c>
    </row>
    <row r="115" customFormat="false" ht="15" hidden="false" customHeight="false" outlineLevel="0" collapsed="false">
      <c r="A115" s="6" t="str">
        <f aca="false">Sheet1_Original_Data!A114</f>
        <v>STR-1028</v>
      </c>
      <c r="B115" s="6" t="str">
        <f aca="false">Sheet1_Original_Data!B114</f>
        <v>2025-03-01</v>
      </c>
      <c r="C115" s="6" t="str">
        <f aca="false">Sheet1_Original_Data!C114</f>
        <v>East</v>
      </c>
      <c r="D115" s="6" t="str">
        <f aca="false">Sheet1_Original_Data!D114</f>
        <v>Mall</v>
      </c>
      <c r="E115" s="6" t="n">
        <f aca="false">Sheet1_Original_Data!E114</f>
        <v>51056.15</v>
      </c>
      <c r="F115" s="6" t="n">
        <f aca="false">Sheet1_Original_Data!F114</f>
        <v>5686</v>
      </c>
      <c r="G115" s="6" t="n">
        <f aca="false">Sheet1_Original_Data!G114</f>
        <v>0.089</v>
      </c>
      <c r="H115" s="6" t="n">
        <f aca="false">Sheet1_Original_Data!H114</f>
        <v>13</v>
      </c>
      <c r="I115" s="6" t="n">
        <f aca="false">Sheet1_Original_Data!I114</f>
        <v>89.9</v>
      </c>
      <c r="J115" s="6" t="n">
        <f aca="false">Sheet1_Original_Data!J114</f>
        <v>1.28</v>
      </c>
      <c r="K115" s="6" t="n">
        <f aca="false">Sheet1_Original_Data!K114</f>
        <v>0</v>
      </c>
      <c r="L115" s="6" t="n">
        <f aca="false">Sheet1_Original_Data!L114</f>
        <v>4.2</v>
      </c>
      <c r="M115" s="6" t="n">
        <f aca="false">Sheet1_Original_Data!M114</f>
        <v>633494.21</v>
      </c>
      <c r="N115" s="6" t="n">
        <f aca="false">Sheet1_Original_Data!N114</f>
        <v>105739.47</v>
      </c>
      <c r="O115" s="4" t="n">
        <f aca="false">IF(Sheet1_Original_Data!J114="",MEDIAN(Sheet1_Original_Data!$J$4:$J$323),Sheet1_Original_Data!J114)</f>
        <v>1.28</v>
      </c>
      <c r="P115" s="4" t="n">
        <f aca="false">IF(Sheet1_Original_Data!L114="",MEDIAN(Sheet1_Original_Data!$L$4:$L$323),Sheet1_Original_Data!L114)</f>
        <v>4.2</v>
      </c>
    </row>
    <row r="116" customFormat="false" ht="15" hidden="false" customHeight="false" outlineLevel="0" collapsed="false">
      <c r="A116" s="6" t="str">
        <f aca="false">Sheet1_Original_Data!A115</f>
        <v>STR-1028</v>
      </c>
      <c r="B116" s="6" t="str">
        <f aca="false">Sheet1_Original_Data!B115</f>
        <v>2025-04-01</v>
      </c>
      <c r="C116" s="6" t="str">
        <f aca="false">Sheet1_Original_Data!C115</f>
        <v>East</v>
      </c>
      <c r="D116" s="6" t="str">
        <f aca="false">Sheet1_Original_Data!D115</f>
        <v>Mall</v>
      </c>
      <c r="E116" s="6" t="n">
        <f aca="false">Sheet1_Original_Data!E115</f>
        <v>52758.01</v>
      </c>
      <c r="F116" s="6" t="n">
        <f aca="false">Sheet1_Original_Data!F115</f>
        <v>4063</v>
      </c>
      <c r="G116" s="6" t="n">
        <f aca="false">Sheet1_Original_Data!G115</f>
        <v>0.057</v>
      </c>
      <c r="H116" s="6" t="n">
        <f aca="false">Sheet1_Original_Data!H115</f>
        <v>12</v>
      </c>
      <c r="I116" s="6" t="n">
        <f aca="false">Sheet1_Original_Data!I115</f>
        <v>91.7</v>
      </c>
      <c r="J116" s="6" t="n">
        <f aca="false">Sheet1_Original_Data!J115</f>
        <v>0.92</v>
      </c>
      <c r="K116" s="6" t="n">
        <f aca="false">Sheet1_Original_Data!K115</f>
        <v>0</v>
      </c>
      <c r="L116" s="6" t="n">
        <f aca="false">Sheet1_Original_Data!L115</f>
        <v>3.5</v>
      </c>
      <c r="M116" s="6" t="n">
        <f aca="false">Sheet1_Original_Data!M115</f>
        <v>713611.16</v>
      </c>
      <c r="N116" s="6" t="n">
        <f aca="false">Sheet1_Original_Data!N115</f>
        <v>129717.18</v>
      </c>
      <c r="O116" s="4" t="n">
        <f aca="false">IF(Sheet1_Original_Data!J115="",MEDIAN(Sheet1_Original_Data!$J$4:$J$323),Sheet1_Original_Data!J115)</f>
        <v>0.92</v>
      </c>
      <c r="P116" s="4" t="n">
        <f aca="false">IF(Sheet1_Original_Data!L115="",MEDIAN(Sheet1_Original_Data!$L$4:$L$323),Sheet1_Original_Data!L115)</f>
        <v>3.5</v>
      </c>
    </row>
    <row r="117" customFormat="false" ht="15" hidden="false" customHeight="false" outlineLevel="0" collapsed="false">
      <c r="A117" s="6" t="str">
        <f aca="false">Sheet1_Original_Data!A116</f>
        <v>STR-1029</v>
      </c>
      <c r="B117" s="6" t="str">
        <f aca="false">Sheet1_Original_Data!B116</f>
        <v>2025-01-01</v>
      </c>
      <c r="C117" s="6" t="str">
        <f aca="false">Sheet1_Original_Data!C116</f>
        <v>West</v>
      </c>
      <c r="D117" s="6" t="str">
        <f aca="false">Sheet1_Original_Data!D116</f>
        <v>Mall</v>
      </c>
      <c r="E117" s="6" t="n">
        <f aca="false">Sheet1_Original_Data!E116</f>
        <v>61426.04</v>
      </c>
      <c r="F117" s="6" t="n">
        <f aca="false">Sheet1_Original_Data!F116</f>
        <v>8966</v>
      </c>
      <c r="G117" s="6" t="n">
        <f aca="false">Sheet1_Original_Data!G116</f>
        <v>0.173</v>
      </c>
      <c r="H117" s="6" t="n">
        <f aca="false">Sheet1_Original_Data!H116</f>
        <v>22</v>
      </c>
      <c r="I117" s="6" t="n">
        <f aca="false">Sheet1_Original_Data!I116</f>
        <v>76.4</v>
      </c>
      <c r="J117" s="6" t="n">
        <f aca="false">Sheet1_Original_Data!J116</f>
        <v>1.05</v>
      </c>
      <c r="K117" s="6" t="n">
        <f aca="false">Sheet1_Original_Data!K116</f>
        <v>0</v>
      </c>
      <c r="L117" s="6" t="n">
        <f aca="false">Sheet1_Original_Data!L116</f>
        <v>3.1</v>
      </c>
      <c r="M117" s="6" t="n">
        <f aca="false">Sheet1_Original_Data!M116</f>
        <v>778397.97</v>
      </c>
      <c r="N117" s="6" t="n">
        <f aca="false">Sheet1_Original_Data!N116</f>
        <v>120044.41</v>
      </c>
      <c r="O117" s="4" t="n">
        <f aca="false">IF(Sheet1_Original_Data!J116="",MEDIAN(Sheet1_Original_Data!$J$4:$J$323),Sheet1_Original_Data!J116)</f>
        <v>1.05</v>
      </c>
      <c r="P117" s="4" t="n">
        <f aca="false">IF(Sheet1_Original_Data!L116="",MEDIAN(Sheet1_Original_Data!$L$4:$L$323),Sheet1_Original_Data!L116)</f>
        <v>3.1</v>
      </c>
    </row>
    <row r="118" customFormat="false" ht="15" hidden="false" customHeight="false" outlineLevel="0" collapsed="false">
      <c r="A118" s="6" t="str">
        <f aca="false">Sheet1_Original_Data!A117</f>
        <v>STR-1029</v>
      </c>
      <c r="B118" s="6" t="str">
        <f aca="false">Sheet1_Original_Data!B117</f>
        <v>2025-02-01</v>
      </c>
      <c r="C118" s="6" t="str">
        <f aca="false">Sheet1_Original_Data!C117</f>
        <v>West</v>
      </c>
      <c r="D118" s="6" t="str">
        <f aca="false">Sheet1_Original_Data!D117</f>
        <v>Mall</v>
      </c>
      <c r="E118" s="6" t="n">
        <f aca="false">Sheet1_Original_Data!E117</f>
        <v>80176.34</v>
      </c>
      <c r="F118" s="6" t="n">
        <f aca="false">Sheet1_Original_Data!F117</f>
        <v>9489</v>
      </c>
      <c r="G118" s="6" t="n">
        <f aca="false">Sheet1_Original_Data!G117</f>
        <v>0.142</v>
      </c>
      <c r="H118" s="6" t="n">
        <f aca="false">Sheet1_Original_Data!H117</f>
        <v>22</v>
      </c>
      <c r="I118" s="6" t="n">
        <f aca="false">Sheet1_Original_Data!I117</f>
        <v>94.3</v>
      </c>
      <c r="J118" s="6" t="n">
        <f aca="false">Sheet1_Original_Data!J117</f>
        <v>2.67</v>
      </c>
      <c r="K118" s="6" t="n">
        <f aca="false">Sheet1_Original_Data!K117</f>
        <v>0</v>
      </c>
      <c r="L118" s="6" t="n">
        <f aca="false">Sheet1_Original_Data!L117</f>
        <v>3.5</v>
      </c>
      <c r="M118" s="6" t="n">
        <f aca="false">Sheet1_Original_Data!M117</f>
        <v>873380.02</v>
      </c>
      <c r="N118" s="6" t="n">
        <f aca="false">Sheet1_Original_Data!N117</f>
        <v>149734.76</v>
      </c>
      <c r="O118" s="4" t="n">
        <f aca="false">IF(Sheet1_Original_Data!J117="",MEDIAN(Sheet1_Original_Data!$J$4:$J$323),Sheet1_Original_Data!J117)</f>
        <v>2.67</v>
      </c>
      <c r="P118" s="4" t="n">
        <f aca="false">IF(Sheet1_Original_Data!L117="",MEDIAN(Sheet1_Original_Data!$L$4:$L$323),Sheet1_Original_Data!L117)</f>
        <v>3.5</v>
      </c>
    </row>
    <row r="119" customFormat="false" ht="15" hidden="false" customHeight="false" outlineLevel="0" collapsed="false">
      <c r="A119" s="6" t="str">
        <f aca="false">Sheet1_Original_Data!A118</f>
        <v>STR-1029</v>
      </c>
      <c r="B119" s="6" t="str">
        <f aca="false">Sheet1_Original_Data!B118</f>
        <v>2025-03-01</v>
      </c>
      <c r="C119" s="6" t="str">
        <f aca="false">Sheet1_Original_Data!C118</f>
        <v>West</v>
      </c>
      <c r="D119" s="6" t="str">
        <f aca="false">Sheet1_Original_Data!D118</f>
        <v>Mall</v>
      </c>
      <c r="E119" s="6" t="n">
        <f aca="false">Sheet1_Original_Data!E118</f>
        <v>33605.18</v>
      </c>
      <c r="F119" s="6" t="n">
        <f aca="false">Sheet1_Original_Data!F118</f>
        <v>9225</v>
      </c>
      <c r="G119" s="6" t="n">
        <f aca="false">Sheet1_Original_Data!G118</f>
        <v>0.159</v>
      </c>
      <c r="H119" s="6" t="n">
        <f aca="false">Sheet1_Original_Data!H118</f>
        <v>23</v>
      </c>
      <c r="I119" s="6" t="n">
        <f aca="false">Sheet1_Original_Data!I118</f>
        <v>88.4</v>
      </c>
      <c r="J119" s="6" t="n">
        <f aca="false">Sheet1_Original_Data!J118</f>
        <v>5.91</v>
      </c>
      <c r="K119" s="6" t="n">
        <f aca="false">Sheet1_Original_Data!K118</f>
        <v>0</v>
      </c>
      <c r="L119" s="6" t="n">
        <f aca="false">Sheet1_Original_Data!L118</f>
        <v>2.8</v>
      </c>
      <c r="M119" s="6" t="n">
        <f aca="false">Sheet1_Original_Data!M118</f>
        <v>697287.9</v>
      </c>
      <c r="N119" s="6" t="n">
        <f aca="false">Sheet1_Original_Data!N118</f>
        <v>128208.33</v>
      </c>
      <c r="O119" s="4" t="n">
        <f aca="false">IF(Sheet1_Original_Data!J118="",MEDIAN(Sheet1_Original_Data!$J$4:$J$323),Sheet1_Original_Data!J118)</f>
        <v>5.91</v>
      </c>
      <c r="P119" s="4" t="n">
        <f aca="false">IF(Sheet1_Original_Data!L118="",MEDIAN(Sheet1_Original_Data!$L$4:$L$323),Sheet1_Original_Data!L118)</f>
        <v>2.8</v>
      </c>
    </row>
    <row r="120" customFormat="false" ht="15" hidden="false" customHeight="false" outlineLevel="0" collapsed="false">
      <c r="A120" s="6" t="str">
        <f aca="false">Sheet1_Original_Data!A119</f>
        <v>STR-1029</v>
      </c>
      <c r="B120" s="6" t="str">
        <f aca="false">Sheet1_Original_Data!B119</f>
        <v>2025-04-01</v>
      </c>
      <c r="C120" s="6" t="str">
        <f aca="false">Sheet1_Original_Data!C119</f>
        <v>West</v>
      </c>
      <c r="D120" s="6" t="str">
        <f aca="false">Sheet1_Original_Data!D119</f>
        <v>Mall</v>
      </c>
      <c r="E120" s="6" t="n">
        <f aca="false">Sheet1_Original_Data!E119</f>
        <v>25990.54</v>
      </c>
      <c r="F120" s="6" t="n">
        <f aca="false">Sheet1_Original_Data!F119</f>
        <v>9249</v>
      </c>
      <c r="G120" s="6" t="n">
        <f aca="false">Sheet1_Original_Data!G119</f>
        <v>0.139</v>
      </c>
      <c r="H120" s="6" t="n">
        <f aca="false">Sheet1_Original_Data!H119</f>
        <v>23</v>
      </c>
      <c r="I120" s="6" t="n">
        <f aca="false">Sheet1_Original_Data!I119</f>
        <v>92.5</v>
      </c>
      <c r="J120" s="6" t="n">
        <f aca="false">Sheet1_Original_Data!J119</f>
        <v>6.37</v>
      </c>
      <c r="K120" s="6" t="n">
        <f aca="false">Sheet1_Original_Data!K119</f>
        <v>0</v>
      </c>
      <c r="L120" s="6" t="n">
        <f aca="false">Sheet1_Original_Data!L119</f>
        <v>3.3</v>
      </c>
      <c r="M120" s="6" t="n">
        <f aca="false">Sheet1_Original_Data!M119</f>
        <v>718074.79</v>
      </c>
      <c r="N120" s="6" t="n">
        <f aca="false">Sheet1_Original_Data!N119</f>
        <v>115819.87</v>
      </c>
      <c r="O120" s="4" t="n">
        <f aca="false">IF(Sheet1_Original_Data!J119="",MEDIAN(Sheet1_Original_Data!$J$4:$J$323),Sheet1_Original_Data!J119)</f>
        <v>6.37</v>
      </c>
      <c r="P120" s="4" t="n">
        <f aca="false">IF(Sheet1_Original_Data!L119="",MEDIAN(Sheet1_Original_Data!$L$4:$L$323),Sheet1_Original_Data!L119)</f>
        <v>3.3</v>
      </c>
    </row>
    <row r="121" customFormat="false" ht="15" hidden="false" customHeight="false" outlineLevel="0" collapsed="false">
      <c r="A121" s="6" t="str">
        <f aca="false">Sheet1_Original_Data!A120</f>
        <v>STR-1030</v>
      </c>
      <c r="B121" s="6" t="str">
        <f aca="false">Sheet1_Original_Data!B120</f>
        <v>2025-01-01</v>
      </c>
      <c r="C121" s="6" t="str">
        <f aca="false">Sheet1_Original_Data!C120</f>
        <v>West</v>
      </c>
      <c r="D121" s="6" t="str">
        <f aca="false">Sheet1_Original_Data!D120</f>
        <v>Residential</v>
      </c>
      <c r="E121" s="6" t="n">
        <f aca="false">Sheet1_Original_Data!E120</f>
        <v>43685.14</v>
      </c>
      <c r="F121" s="6" t="n">
        <f aca="false">Sheet1_Original_Data!F120</f>
        <v>7821</v>
      </c>
      <c r="G121" s="6" t="n">
        <f aca="false">Sheet1_Original_Data!G120</f>
        <v>0.19</v>
      </c>
      <c r="H121" s="6" t="n">
        <f aca="false">Sheet1_Original_Data!H120</f>
        <v>17</v>
      </c>
      <c r="I121" s="6" t="n">
        <f aca="false">Sheet1_Original_Data!I120</f>
        <v>91</v>
      </c>
      <c r="J121" s="6" t="n">
        <f aca="false">Sheet1_Original_Data!J120</f>
        <v>2.49</v>
      </c>
      <c r="K121" s="6" t="n">
        <f aca="false">Sheet1_Original_Data!K120</f>
        <v>1</v>
      </c>
      <c r="L121" s="6" t="n">
        <f aca="false">Sheet1_Original_Data!L120</f>
        <v>4.7</v>
      </c>
      <c r="M121" s="6" t="n">
        <f aca="false">Sheet1_Original_Data!M120</f>
        <v>714942.43</v>
      </c>
      <c r="N121" s="6" t="n">
        <f aca="false">Sheet1_Original_Data!N120</f>
        <v>94697.71</v>
      </c>
      <c r="O121" s="4" t="n">
        <f aca="false">IF(Sheet1_Original_Data!J120="",MEDIAN(Sheet1_Original_Data!$J$4:$J$323),Sheet1_Original_Data!J120)</f>
        <v>2.49</v>
      </c>
      <c r="P121" s="4" t="n">
        <f aca="false">IF(Sheet1_Original_Data!L120="",MEDIAN(Sheet1_Original_Data!$L$4:$L$323),Sheet1_Original_Data!L120)</f>
        <v>4.7</v>
      </c>
    </row>
    <row r="122" customFormat="false" ht="15" hidden="false" customHeight="false" outlineLevel="0" collapsed="false">
      <c r="A122" s="6" t="str">
        <f aca="false">Sheet1_Original_Data!A121</f>
        <v>STR-1030</v>
      </c>
      <c r="B122" s="6" t="str">
        <f aca="false">Sheet1_Original_Data!B121</f>
        <v>2025-02-01</v>
      </c>
      <c r="C122" s="6" t="str">
        <f aca="false">Sheet1_Original_Data!C121</f>
        <v>West</v>
      </c>
      <c r="D122" s="6" t="str">
        <f aca="false">Sheet1_Original_Data!D121</f>
        <v>Residential</v>
      </c>
      <c r="E122" s="6" t="n">
        <f aca="false">Sheet1_Original_Data!E121</f>
        <v>57360.01</v>
      </c>
      <c r="F122" s="6" t="n">
        <f aca="false">Sheet1_Original_Data!F121</f>
        <v>8434</v>
      </c>
      <c r="G122" s="6" t="n">
        <f aca="false">Sheet1_Original_Data!G121</f>
        <v>0.151</v>
      </c>
      <c r="H122" s="6" t="n">
        <f aca="false">Sheet1_Original_Data!H121</f>
        <v>19</v>
      </c>
      <c r="I122" s="6" t="n">
        <f aca="false">Sheet1_Original_Data!I121</f>
        <v>84.1</v>
      </c>
      <c r="J122" s="6" t="n">
        <f aca="false">Sheet1_Original_Data!J121</f>
        <v>1.56</v>
      </c>
      <c r="K122" s="6" t="n">
        <f aca="false">Sheet1_Original_Data!K121</f>
        <v>0</v>
      </c>
      <c r="L122" s="6" t="n">
        <f aca="false">Sheet1_Original_Data!L121</f>
        <v>4.7</v>
      </c>
      <c r="M122" s="6" t="n">
        <f aca="false">Sheet1_Original_Data!M121</f>
        <v>820519.04</v>
      </c>
      <c r="N122" s="6" t="n">
        <f aca="false">Sheet1_Original_Data!N121</f>
        <v>99035.88</v>
      </c>
      <c r="O122" s="4" t="n">
        <f aca="false">IF(Sheet1_Original_Data!J121="",MEDIAN(Sheet1_Original_Data!$J$4:$J$323),Sheet1_Original_Data!J121)</f>
        <v>1.56</v>
      </c>
      <c r="P122" s="4" t="n">
        <f aca="false">IF(Sheet1_Original_Data!L121="",MEDIAN(Sheet1_Original_Data!$L$4:$L$323),Sheet1_Original_Data!L121)</f>
        <v>4.7</v>
      </c>
    </row>
    <row r="123" customFormat="false" ht="15" hidden="false" customHeight="false" outlineLevel="0" collapsed="false">
      <c r="A123" s="6" t="str">
        <f aca="false">Sheet1_Original_Data!A122</f>
        <v>STR-1030</v>
      </c>
      <c r="B123" s="6" t="str">
        <f aca="false">Sheet1_Original_Data!B122</f>
        <v>2025-03-01</v>
      </c>
      <c r="C123" s="6" t="str">
        <f aca="false">Sheet1_Original_Data!C122</f>
        <v>West</v>
      </c>
      <c r="D123" s="6" t="str">
        <f aca="false">Sheet1_Original_Data!D122</f>
        <v>Residential</v>
      </c>
      <c r="E123" s="6" t="n">
        <f aca="false">Sheet1_Original_Data!E122</f>
        <v>42415.47</v>
      </c>
      <c r="F123" s="6" t="n">
        <f aca="false">Sheet1_Original_Data!F122</f>
        <v>8512</v>
      </c>
      <c r="G123" s="6" t="n">
        <f aca="false">Sheet1_Original_Data!G122</f>
        <v>0.133</v>
      </c>
      <c r="H123" s="6" t="n">
        <f aca="false">Sheet1_Original_Data!H122</f>
        <v>18</v>
      </c>
      <c r="I123" s="6" t="n">
        <f aca="false">Sheet1_Original_Data!I122</f>
        <v>96.8</v>
      </c>
      <c r="J123" s="6" t="n">
        <f aca="false">Sheet1_Original_Data!J122</f>
        <v>14.95</v>
      </c>
      <c r="K123" s="6" t="n">
        <f aca="false">Sheet1_Original_Data!K122</f>
        <v>0</v>
      </c>
      <c r="L123" s="6" t="n">
        <f aca="false">Sheet1_Original_Data!L122</f>
        <v>4.6</v>
      </c>
      <c r="M123" s="6" t="n">
        <f aca="false">Sheet1_Original_Data!M122</f>
        <v>684217.32</v>
      </c>
      <c r="N123" s="6" t="n">
        <f aca="false">Sheet1_Original_Data!N122</f>
        <v>136217.19</v>
      </c>
      <c r="O123" s="4" t="n">
        <f aca="false">IF(Sheet1_Original_Data!J122="",MEDIAN(Sheet1_Original_Data!$J$4:$J$323),Sheet1_Original_Data!J122)</f>
        <v>14.95</v>
      </c>
      <c r="P123" s="4" t="n">
        <f aca="false">IF(Sheet1_Original_Data!L122="",MEDIAN(Sheet1_Original_Data!$L$4:$L$323),Sheet1_Original_Data!L122)</f>
        <v>4.6</v>
      </c>
    </row>
    <row r="124" customFormat="false" ht="15" hidden="false" customHeight="false" outlineLevel="0" collapsed="false">
      <c r="A124" s="6" t="str">
        <f aca="false">Sheet1_Original_Data!A123</f>
        <v>STR-1030</v>
      </c>
      <c r="B124" s="6" t="str">
        <f aca="false">Sheet1_Original_Data!B123</f>
        <v>2025-04-01</v>
      </c>
      <c r="C124" s="6" t="str">
        <f aca="false">Sheet1_Original_Data!C123</f>
        <v>West</v>
      </c>
      <c r="D124" s="6" t="str">
        <f aca="false">Sheet1_Original_Data!D123</f>
        <v>Residential</v>
      </c>
      <c r="E124" s="6" t="n">
        <f aca="false">Sheet1_Original_Data!E123</f>
        <v>54968.98</v>
      </c>
      <c r="F124" s="6" t="n">
        <f aca="false">Sheet1_Original_Data!F123</f>
        <v>7816</v>
      </c>
      <c r="G124" s="6" t="n">
        <f aca="false">Sheet1_Original_Data!G123</f>
        <v>0.232</v>
      </c>
      <c r="H124" s="6" t="n">
        <f aca="false">Sheet1_Original_Data!H123</f>
        <v>19</v>
      </c>
      <c r="I124" s="6" t="n">
        <f aca="false">Sheet1_Original_Data!I123</f>
        <v>95.7</v>
      </c>
      <c r="J124" s="6" t="n">
        <f aca="false">Sheet1_Original_Data!J123</f>
        <v>7.85</v>
      </c>
      <c r="K124" s="6" t="n">
        <f aca="false">Sheet1_Original_Data!K123</f>
        <v>0</v>
      </c>
      <c r="L124" s="6" t="n">
        <f aca="false">Sheet1_Original_Data!L123</f>
        <v>4.7</v>
      </c>
      <c r="M124" s="6" t="n">
        <f aca="false">Sheet1_Original_Data!M123</f>
        <v>735480.19</v>
      </c>
      <c r="N124" s="6" t="n">
        <f aca="false">Sheet1_Original_Data!N123</f>
        <v>88342.11</v>
      </c>
      <c r="O124" s="4" t="n">
        <f aca="false">IF(Sheet1_Original_Data!J123="",MEDIAN(Sheet1_Original_Data!$J$4:$J$323),Sheet1_Original_Data!J123)</f>
        <v>7.85</v>
      </c>
      <c r="P124" s="4" t="n">
        <f aca="false">IF(Sheet1_Original_Data!L123="",MEDIAN(Sheet1_Original_Data!$L$4:$L$323),Sheet1_Original_Data!L123)</f>
        <v>4.7</v>
      </c>
    </row>
    <row r="125" customFormat="false" ht="15" hidden="false" customHeight="false" outlineLevel="0" collapsed="false">
      <c r="A125" s="6" t="str">
        <f aca="false">Sheet1_Original_Data!A124</f>
        <v>STR-1031</v>
      </c>
      <c r="B125" s="6" t="str">
        <f aca="false">Sheet1_Original_Data!B124</f>
        <v>2025-01-01</v>
      </c>
      <c r="C125" s="6" t="str">
        <f aca="false">Sheet1_Original_Data!C124</f>
        <v>North</v>
      </c>
      <c r="D125" s="6" t="str">
        <f aca="false">Sheet1_Original_Data!D124</f>
        <v>High Street</v>
      </c>
      <c r="E125" s="6" t="n">
        <f aca="false">Sheet1_Original_Data!E124</f>
        <v>43896.13</v>
      </c>
      <c r="F125" s="6" t="n">
        <f aca="false">Sheet1_Original_Data!F124</f>
        <v>3853</v>
      </c>
      <c r="G125" s="6" t="n">
        <f aca="false">Sheet1_Original_Data!G124</f>
        <v>0.088</v>
      </c>
      <c r="H125" s="6" t="n">
        <f aca="false">Sheet1_Original_Data!H124</f>
        <v>13</v>
      </c>
      <c r="I125" s="6" t="n">
        <f aca="false">Sheet1_Original_Data!I124</f>
        <v>83</v>
      </c>
      <c r="J125" s="6" t="n">
        <f aca="false">Sheet1_Original_Data!J124</f>
        <v>6.8</v>
      </c>
      <c r="K125" s="6" t="n">
        <f aca="false">Sheet1_Original_Data!K124</f>
        <v>0</v>
      </c>
      <c r="L125" s="6" t="n">
        <f aca="false">Sheet1_Original_Data!L124</f>
        <v>4.4</v>
      </c>
      <c r="M125" s="6" t="n">
        <f aca="false">Sheet1_Original_Data!M124</f>
        <v>509484.81</v>
      </c>
      <c r="N125" s="6" t="n">
        <f aca="false">Sheet1_Original_Data!N124</f>
        <v>85742.36</v>
      </c>
      <c r="O125" s="4" t="n">
        <f aca="false">IF(Sheet1_Original_Data!J124="",MEDIAN(Sheet1_Original_Data!$J$4:$J$323),Sheet1_Original_Data!J124)</f>
        <v>6.8</v>
      </c>
      <c r="P125" s="4" t="n">
        <f aca="false">IF(Sheet1_Original_Data!L124="",MEDIAN(Sheet1_Original_Data!$L$4:$L$323),Sheet1_Original_Data!L124)</f>
        <v>4.4</v>
      </c>
    </row>
    <row r="126" customFormat="false" ht="15" hidden="false" customHeight="false" outlineLevel="0" collapsed="false">
      <c r="A126" s="6" t="str">
        <f aca="false">Sheet1_Original_Data!A125</f>
        <v>STR-1031</v>
      </c>
      <c r="B126" s="6" t="str">
        <f aca="false">Sheet1_Original_Data!B125</f>
        <v>2025-02-01</v>
      </c>
      <c r="C126" s="6" t="str">
        <f aca="false">Sheet1_Original_Data!C125</f>
        <v>North</v>
      </c>
      <c r="D126" s="6" t="str">
        <f aca="false">Sheet1_Original_Data!D125</f>
        <v>High Street</v>
      </c>
      <c r="E126" s="6" t="n">
        <f aca="false">Sheet1_Original_Data!E125</f>
        <v>83044.17</v>
      </c>
      <c r="F126" s="6" t="n">
        <f aca="false">Sheet1_Original_Data!F125</f>
        <v>3694</v>
      </c>
      <c r="G126" s="6" t="n">
        <f aca="false">Sheet1_Original_Data!G125</f>
        <v>0</v>
      </c>
      <c r="H126" s="6" t="n">
        <f aca="false">Sheet1_Original_Data!H125</f>
        <v>14</v>
      </c>
      <c r="I126" s="6" t="n">
        <f aca="false">Sheet1_Original_Data!I125</f>
        <v>89.4</v>
      </c>
      <c r="J126" s="6" t="n">
        <f aca="false">Sheet1_Original_Data!J125</f>
        <v>2.2</v>
      </c>
      <c r="K126" s="6" t="n">
        <f aca="false">Sheet1_Original_Data!K125</f>
        <v>0</v>
      </c>
      <c r="L126" s="6" t="n">
        <f aca="false">Sheet1_Original_Data!L125</f>
        <v>3.7</v>
      </c>
      <c r="M126" s="6" t="n">
        <f aca="false">Sheet1_Original_Data!M125</f>
        <v>654317.09</v>
      </c>
      <c r="N126" s="6" t="n">
        <f aca="false">Sheet1_Original_Data!N125</f>
        <v>121446.89</v>
      </c>
      <c r="O126" s="4" t="n">
        <f aca="false">IF(Sheet1_Original_Data!J125="",MEDIAN(Sheet1_Original_Data!$J$4:$J$323),Sheet1_Original_Data!J125)</f>
        <v>2.2</v>
      </c>
      <c r="P126" s="4" t="n">
        <f aca="false">IF(Sheet1_Original_Data!L125="",MEDIAN(Sheet1_Original_Data!$L$4:$L$323),Sheet1_Original_Data!L125)</f>
        <v>3.7</v>
      </c>
    </row>
    <row r="127" customFormat="false" ht="15" hidden="false" customHeight="false" outlineLevel="0" collapsed="false">
      <c r="A127" s="6" t="str">
        <f aca="false">Sheet1_Original_Data!A126</f>
        <v>STR-1031</v>
      </c>
      <c r="B127" s="6" t="str">
        <f aca="false">Sheet1_Original_Data!B126</f>
        <v>2025-03-01</v>
      </c>
      <c r="C127" s="6" t="str">
        <f aca="false">Sheet1_Original_Data!C126</f>
        <v>North</v>
      </c>
      <c r="D127" s="6" t="str">
        <f aca="false">Sheet1_Original_Data!D126</f>
        <v>High Street</v>
      </c>
      <c r="E127" s="6" t="n">
        <f aca="false">Sheet1_Original_Data!E126</f>
        <v>48396.13</v>
      </c>
      <c r="F127" s="6" t="n">
        <f aca="false">Sheet1_Original_Data!F126</f>
        <v>4423</v>
      </c>
      <c r="G127" s="6" t="n">
        <f aca="false">Sheet1_Original_Data!G126</f>
        <v>0.069</v>
      </c>
      <c r="H127" s="6" t="n">
        <f aca="false">Sheet1_Original_Data!H126</f>
        <v>15</v>
      </c>
      <c r="I127" s="6" t="n">
        <f aca="false">Sheet1_Original_Data!I126</f>
        <v>85.7</v>
      </c>
      <c r="J127" s="6" t="n">
        <f aca="false">Sheet1_Original_Data!J126</f>
        <v>1.88</v>
      </c>
      <c r="K127" s="6" t="n">
        <f aca="false">Sheet1_Original_Data!K126</f>
        <v>0</v>
      </c>
      <c r="L127" s="6" t="n">
        <f aca="false">Sheet1_Original_Data!L126</f>
        <v>3.9</v>
      </c>
      <c r="M127" s="6" t="n">
        <f aca="false">Sheet1_Original_Data!M126</f>
        <v>557487.26</v>
      </c>
      <c r="N127" s="6" t="n">
        <f aca="false">Sheet1_Original_Data!N126</f>
        <v>76432.19</v>
      </c>
      <c r="O127" s="4" t="n">
        <f aca="false">IF(Sheet1_Original_Data!J126="",MEDIAN(Sheet1_Original_Data!$J$4:$J$323),Sheet1_Original_Data!J126)</f>
        <v>1.88</v>
      </c>
      <c r="P127" s="4" t="n">
        <f aca="false">IF(Sheet1_Original_Data!L126="",MEDIAN(Sheet1_Original_Data!$L$4:$L$323),Sheet1_Original_Data!L126)</f>
        <v>3.9</v>
      </c>
    </row>
    <row r="128" customFormat="false" ht="15" hidden="false" customHeight="false" outlineLevel="0" collapsed="false">
      <c r="A128" s="6" t="str">
        <f aca="false">Sheet1_Original_Data!A127</f>
        <v>STR-1031</v>
      </c>
      <c r="B128" s="6" t="str">
        <f aca="false">Sheet1_Original_Data!B127</f>
        <v>2025-04-01</v>
      </c>
      <c r="C128" s="6" t="str">
        <f aca="false">Sheet1_Original_Data!C127</f>
        <v>North</v>
      </c>
      <c r="D128" s="6" t="str">
        <f aca="false">Sheet1_Original_Data!D127</f>
        <v>High Street</v>
      </c>
      <c r="E128" s="6" t="n">
        <f aca="false">Sheet1_Original_Data!E127</f>
        <v>19063.48</v>
      </c>
      <c r="F128" s="6" t="n">
        <f aca="false">Sheet1_Original_Data!F127</f>
        <v>1906</v>
      </c>
      <c r="G128" s="6" t="n">
        <f aca="false">Sheet1_Original_Data!G127</f>
        <v>0.216</v>
      </c>
      <c r="H128" s="6" t="n">
        <f aca="false">Sheet1_Original_Data!H127</f>
        <v>10</v>
      </c>
      <c r="I128" s="6" t="n">
        <f aca="false">Sheet1_Original_Data!I127</f>
        <v>97.8</v>
      </c>
      <c r="J128" s="6" t="n">
        <f aca="false">Sheet1_Original_Data!J127</f>
        <v>15.79</v>
      </c>
      <c r="K128" s="6" t="n">
        <f aca="false">Sheet1_Original_Data!K127</f>
        <v>0</v>
      </c>
      <c r="L128" s="6" t="n">
        <f aca="false">Sheet1_Original_Data!L127</f>
        <v>4.4</v>
      </c>
      <c r="M128" s="6" t="n">
        <f aca="false">Sheet1_Original_Data!M127</f>
        <v>441275.42</v>
      </c>
      <c r="N128" s="6" t="n">
        <f aca="false">Sheet1_Original_Data!N127</f>
        <v>58234.87</v>
      </c>
      <c r="O128" s="4" t="n">
        <f aca="false">IF(Sheet1_Original_Data!J127="",MEDIAN(Sheet1_Original_Data!$J$4:$J$323),Sheet1_Original_Data!J127)</f>
        <v>15.79</v>
      </c>
      <c r="P128" s="4" t="n">
        <f aca="false">IF(Sheet1_Original_Data!L127="",MEDIAN(Sheet1_Original_Data!$L$4:$L$323),Sheet1_Original_Data!L127)</f>
        <v>4.4</v>
      </c>
    </row>
    <row r="129" customFormat="false" ht="15" hidden="false" customHeight="false" outlineLevel="0" collapsed="false">
      <c r="A129" s="6" t="str">
        <f aca="false">Sheet1_Original_Data!A128</f>
        <v>STR-1032</v>
      </c>
      <c r="B129" s="6" t="str">
        <f aca="false">Sheet1_Original_Data!B128</f>
        <v>2025-01-01</v>
      </c>
      <c r="C129" s="6" t="str">
        <f aca="false">Sheet1_Original_Data!C128</f>
        <v>South</v>
      </c>
      <c r="D129" s="6" t="str">
        <f aca="false">Sheet1_Original_Data!D128</f>
        <v>High Street</v>
      </c>
      <c r="E129" s="6" t="n">
        <f aca="false">Sheet1_Original_Data!E128</f>
        <v>61541.21</v>
      </c>
      <c r="F129" s="6" t="n">
        <f aca="false">Sheet1_Original_Data!F128</f>
        <v>10396</v>
      </c>
      <c r="G129" s="6" t="n">
        <f aca="false">Sheet1_Original_Data!G128</f>
        <v>0.123</v>
      </c>
      <c r="H129" s="6" t="n">
        <f aca="false">Sheet1_Original_Data!H128</f>
        <v>25</v>
      </c>
      <c r="I129" s="6" t="n">
        <f aca="false">Sheet1_Original_Data!I128</f>
        <v>88.1</v>
      </c>
      <c r="J129" s="6" t="n">
        <f aca="false">Sheet1_Original_Data!J128</f>
        <v>2.34</v>
      </c>
      <c r="K129" s="6" t="n">
        <f aca="false">Sheet1_Original_Data!K128</f>
        <v>1</v>
      </c>
      <c r="L129" s="6" t="n">
        <f aca="false">Sheet1_Original_Data!L128</f>
        <v>4.8</v>
      </c>
      <c r="M129" s="6" t="n">
        <f aca="false">Sheet1_Original_Data!M128</f>
        <v>914544.17</v>
      </c>
      <c r="N129" s="6" t="n">
        <f aca="false">Sheet1_Original_Data!N128</f>
        <v>79831.73</v>
      </c>
      <c r="O129" s="4" t="n">
        <f aca="false">IF(Sheet1_Original_Data!J128="",MEDIAN(Sheet1_Original_Data!$J$4:$J$323),Sheet1_Original_Data!J128)</f>
        <v>2.34</v>
      </c>
      <c r="P129" s="4" t="n">
        <f aca="false">IF(Sheet1_Original_Data!L128="",MEDIAN(Sheet1_Original_Data!$L$4:$L$323),Sheet1_Original_Data!L128)</f>
        <v>4.8</v>
      </c>
    </row>
    <row r="130" customFormat="false" ht="15" hidden="false" customHeight="false" outlineLevel="0" collapsed="false">
      <c r="A130" s="6" t="str">
        <f aca="false">Sheet1_Original_Data!A129</f>
        <v>STR-1032</v>
      </c>
      <c r="B130" s="6" t="str">
        <f aca="false">Sheet1_Original_Data!B129</f>
        <v>2025-02-01</v>
      </c>
      <c r="C130" s="6" t="str">
        <f aca="false">Sheet1_Original_Data!C129</f>
        <v>South</v>
      </c>
      <c r="D130" s="6" t="str">
        <f aca="false">Sheet1_Original_Data!D129</f>
        <v>High Street</v>
      </c>
      <c r="E130" s="6" t="n">
        <f aca="false">Sheet1_Original_Data!E129</f>
        <v>44747</v>
      </c>
      <c r="F130" s="6" t="n">
        <f aca="false">Sheet1_Original_Data!F129</f>
        <v>11076</v>
      </c>
      <c r="G130" s="6" t="n">
        <f aca="false">Sheet1_Original_Data!G129</f>
        <v>0.176</v>
      </c>
      <c r="H130" s="6" t="n">
        <f aca="false">Sheet1_Original_Data!H129</f>
        <v>27</v>
      </c>
      <c r="I130" s="6" t="n">
        <f aca="false">Sheet1_Original_Data!I129</f>
        <v>98.3</v>
      </c>
      <c r="J130" s="6" t="n">
        <f aca="false">Sheet1_Original_Data!J129</f>
        <v>0.54</v>
      </c>
      <c r="K130" s="6" t="n">
        <f aca="false">Sheet1_Original_Data!K129</f>
        <v>0</v>
      </c>
      <c r="L130" s="6" t="n">
        <f aca="false">Sheet1_Original_Data!L129</f>
        <v>4.4</v>
      </c>
      <c r="M130" s="6" t="n">
        <f aca="false">Sheet1_Original_Data!M129</f>
        <v>842439.67</v>
      </c>
      <c r="N130" s="6" t="n">
        <f aca="false">Sheet1_Original_Data!N129</f>
        <v>169983.63</v>
      </c>
      <c r="O130" s="4" t="n">
        <f aca="false">IF(Sheet1_Original_Data!J129="",MEDIAN(Sheet1_Original_Data!$J$4:$J$323),Sheet1_Original_Data!J129)</f>
        <v>0.54</v>
      </c>
      <c r="P130" s="4" t="n">
        <f aca="false">IF(Sheet1_Original_Data!L129="",MEDIAN(Sheet1_Original_Data!$L$4:$L$323),Sheet1_Original_Data!L129)</f>
        <v>4.4</v>
      </c>
    </row>
    <row r="131" customFormat="false" ht="15" hidden="false" customHeight="false" outlineLevel="0" collapsed="false">
      <c r="A131" s="6" t="str">
        <f aca="false">Sheet1_Original_Data!A130</f>
        <v>STR-1032</v>
      </c>
      <c r="B131" s="6" t="str">
        <f aca="false">Sheet1_Original_Data!B130</f>
        <v>2025-03-01</v>
      </c>
      <c r="C131" s="6" t="str">
        <f aca="false">Sheet1_Original_Data!C130</f>
        <v>South</v>
      </c>
      <c r="D131" s="6" t="str">
        <f aca="false">Sheet1_Original_Data!D130</f>
        <v>High Street</v>
      </c>
      <c r="E131" s="6" t="n">
        <f aca="false">Sheet1_Original_Data!E130</f>
        <v>56517.9</v>
      </c>
      <c r="F131" s="6" t="n">
        <f aca="false">Sheet1_Original_Data!F130</f>
        <v>9574</v>
      </c>
      <c r="G131" s="6" t="n">
        <f aca="false">Sheet1_Original_Data!G130</f>
        <v>0.204</v>
      </c>
      <c r="H131" s="6" t="n">
        <f aca="false">Sheet1_Original_Data!H130</f>
        <v>20</v>
      </c>
      <c r="I131" s="6" t="n">
        <f aca="false">Sheet1_Original_Data!I130</f>
        <v>88.2</v>
      </c>
      <c r="J131" s="6" t="n">
        <f aca="false">Sheet1_Original_Data!J130</f>
        <v>5.37</v>
      </c>
      <c r="K131" s="6" t="n">
        <f aca="false">Sheet1_Original_Data!K130</f>
        <v>1</v>
      </c>
      <c r="L131" s="6" t="n">
        <f aca="false">Sheet1_Original_Data!L130</f>
        <v>4.9</v>
      </c>
      <c r="M131" s="6" t="n">
        <f aca="false">Sheet1_Original_Data!M130</f>
        <v>842157.92</v>
      </c>
      <c r="N131" s="6" t="n">
        <f aca="false">Sheet1_Original_Data!N130</f>
        <v>107348.22</v>
      </c>
      <c r="O131" s="4" t="n">
        <f aca="false">IF(Sheet1_Original_Data!J130="",MEDIAN(Sheet1_Original_Data!$J$4:$J$323),Sheet1_Original_Data!J130)</f>
        <v>5.37</v>
      </c>
      <c r="P131" s="4" t="n">
        <f aca="false">IF(Sheet1_Original_Data!L130="",MEDIAN(Sheet1_Original_Data!$L$4:$L$323),Sheet1_Original_Data!L130)</f>
        <v>4.9</v>
      </c>
    </row>
    <row r="132" customFormat="false" ht="15" hidden="false" customHeight="false" outlineLevel="0" collapsed="false">
      <c r="A132" s="6" t="str">
        <f aca="false">Sheet1_Original_Data!A131</f>
        <v>STR-1032</v>
      </c>
      <c r="B132" s="6" t="str">
        <f aca="false">Sheet1_Original_Data!B131</f>
        <v>2025-04-01</v>
      </c>
      <c r="C132" s="6" t="str">
        <f aca="false">Sheet1_Original_Data!C131</f>
        <v>South</v>
      </c>
      <c r="D132" s="6" t="str">
        <f aca="false">Sheet1_Original_Data!D131</f>
        <v>High Street</v>
      </c>
      <c r="E132" s="6" t="n">
        <f aca="false">Sheet1_Original_Data!E131</f>
        <v>37828.5</v>
      </c>
      <c r="F132" s="6" t="n">
        <f aca="false">Sheet1_Original_Data!F131</f>
        <v>8221</v>
      </c>
      <c r="G132" s="6" t="n">
        <f aca="false">Sheet1_Original_Data!G131</f>
        <v>0.096</v>
      </c>
      <c r="H132" s="6" t="n">
        <f aca="false">Sheet1_Original_Data!H131</f>
        <v>19</v>
      </c>
      <c r="I132" s="6" t="n">
        <f aca="false">Sheet1_Original_Data!I131</f>
        <v>81.5</v>
      </c>
      <c r="J132" s="6" t="n">
        <f aca="false">Sheet1_Original_Data!J131</f>
        <v>3.19</v>
      </c>
      <c r="K132" s="6" t="n">
        <f aca="false">Sheet1_Original_Data!K131</f>
        <v>0</v>
      </c>
      <c r="L132" s="6" t="n">
        <f aca="false">Sheet1_Original_Data!L131</f>
        <v>4.8</v>
      </c>
      <c r="M132" s="6" t="n">
        <f aca="false">Sheet1_Original_Data!M131</f>
        <v>697155.3</v>
      </c>
      <c r="N132" s="6" t="n">
        <f aca="false">Sheet1_Original_Data!N131</f>
        <v>136408.54</v>
      </c>
      <c r="O132" s="4" t="n">
        <f aca="false">IF(Sheet1_Original_Data!J131="",MEDIAN(Sheet1_Original_Data!$J$4:$J$323),Sheet1_Original_Data!J131)</f>
        <v>3.19</v>
      </c>
      <c r="P132" s="4" t="n">
        <f aca="false">IF(Sheet1_Original_Data!L131="",MEDIAN(Sheet1_Original_Data!$L$4:$L$323),Sheet1_Original_Data!L131)</f>
        <v>4.8</v>
      </c>
    </row>
    <row r="133" customFormat="false" ht="15" hidden="false" customHeight="false" outlineLevel="0" collapsed="false">
      <c r="A133" s="6" t="str">
        <f aca="false">Sheet1_Original_Data!A132</f>
        <v>STR-1033</v>
      </c>
      <c r="B133" s="6" t="str">
        <f aca="false">Sheet1_Original_Data!B132</f>
        <v>2025-01-01</v>
      </c>
      <c r="C133" s="6" t="str">
        <f aca="false">Sheet1_Original_Data!C132</f>
        <v>East</v>
      </c>
      <c r="D133" s="6" t="str">
        <f aca="false">Sheet1_Original_Data!D132</f>
        <v>High Street</v>
      </c>
      <c r="E133" s="6" t="n">
        <f aca="false">Sheet1_Original_Data!E132</f>
        <v>66250.53</v>
      </c>
      <c r="F133" s="6" t="n">
        <f aca="false">Sheet1_Original_Data!F132</f>
        <v>10618</v>
      </c>
      <c r="G133" s="6" t="n">
        <f aca="false">Sheet1_Original_Data!G132</f>
        <v>0.142</v>
      </c>
      <c r="H133" s="6" t="n">
        <f aca="false">Sheet1_Original_Data!H132</f>
        <v>27</v>
      </c>
      <c r="I133" s="6" t="n">
        <f aca="false">Sheet1_Original_Data!I132</f>
        <v>88.3</v>
      </c>
      <c r="J133" s="6" t="n">
        <f aca="false">Sheet1_Original_Data!J132</f>
        <v>1.1</v>
      </c>
      <c r="K133" s="6" t="n">
        <f aca="false">Sheet1_Original_Data!K132</f>
        <v>1</v>
      </c>
      <c r="L133" s="6" t="n">
        <f aca="false">Sheet1_Original_Data!L132</f>
        <v>4.4</v>
      </c>
      <c r="M133" s="6" t="n">
        <f aca="false">Sheet1_Original_Data!M132</f>
        <v>849018.3</v>
      </c>
      <c r="N133" s="6" t="n">
        <f aca="false">Sheet1_Original_Data!N132</f>
        <v>149035.13</v>
      </c>
      <c r="O133" s="4" t="n">
        <f aca="false">IF(Sheet1_Original_Data!J132="",MEDIAN(Sheet1_Original_Data!$J$4:$J$323),Sheet1_Original_Data!J132)</f>
        <v>1.1</v>
      </c>
      <c r="P133" s="4" t="n">
        <f aca="false">IF(Sheet1_Original_Data!L132="",MEDIAN(Sheet1_Original_Data!$L$4:$L$323),Sheet1_Original_Data!L132)</f>
        <v>4.4</v>
      </c>
    </row>
    <row r="134" customFormat="false" ht="15" hidden="false" customHeight="false" outlineLevel="0" collapsed="false">
      <c r="A134" s="6" t="str">
        <f aca="false">Sheet1_Original_Data!A133</f>
        <v>STR-1033</v>
      </c>
      <c r="B134" s="6" t="str">
        <f aca="false">Sheet1_Original_Data!B133</f>
        <v>2025-02-01</v>
      </c>
      <c r="C134" s="6" t="str">
        <f aca="false">Sheet1_Original_Data!C133</f>
        <v>East</v>
      </c>
      <c r="D134" s="6" t="str">
        <f aca="false">Sheet1_Original_Data!D133</f>
        <v>High Street</v>
      </c>
      <c r="E134" s="6" t="n">
        <f aca="false">Sheet1_Original_Data!E133</f>
        <v>68410.93</v>
      </c>
      <c r="F134" s="6" t="n">
        <f aca="false">Sheet1_Original_Data!F133</f>
        <v>10596</v>
      </c>
      <c r="G134" s="6" t="n">
        <f aca="false">Sheet1_Original_Data!G133</f>
        <v>0.207</v>
      </c>
      <c r="H134" s="6" t="n">
        <f aca="false">Sheet1_Original_Data!H133</f>
        <v>25</v>
      </c>
      <c r="I134" s="6" t="n">
        <f aca="false">Sheet1_Original_Data!I133</f>
        <v>81.2</v>
      </c>
      <c r="J134" s="6" t="n">
        <f aca="false">Sheet1_Original_Data!J133</f>
        <v>0.21</v>
      </c>
      <c r="K134" s="6" t="n">
        <f aca="false">Sheet1_Original_Data!K133</f>
        <v>0</v>
      </c>
      <c r="L134" s="6" t="n">
        <f aca="false">Sheet1_Original_Data!L133</f>
        <v>4</v>
      </c>
      <c r="M134" s="6" t="n">
        <f aca="false">Sheet1_Original_Data!M133</f>
        <v>801830.35</v>
      </c>
      <c r="N134" s="6" t="n">
        <f aca="false">Sheet1_Original_Data!N133</f>
        <v>114875.32</v>
      </c>
      <c r="O134" s="4" t="n">
        <f aca="false">IF(Sheet1_Original_Data!J133="",MEDIAN(Sheet1_Original_Data!$J$4:$J$323),Sheet1_Original_Data!J133)</f>
        <v>0.21</v>
      </c>
      <c r="P134" s="4" t="n">
        <f aca="false">IF(Sheet1_Original_Data!L133="",MEDIAN(Sheet1_Original_Data!$L$4:$L$323),Sheet1_Original_Data!L133)</f>
        <v>4</v>
      </c>
    </row>
    <row r="135" customFormat="false" ht="15" hidden="false" customHeight="false" outlineLevel="0" collapsed="false">
      <c r="A135" s="6" t="str">
        <f aca="false">Sheet1_Original_Data!A134</f>
        <v>STR-1033</v>
      </c>
      <c r="B135" s="6" t="str">
        <f aca="false">Sheet1_Original_Data!B134</f>
        <v>2025-03-01</v>
      </c>
      <c r="C135" s="6" t="str">
        <f aca="false">Sheet1_Original_Data!C134</f>
        <v>East</v>
      </c>
      <c r="D135" s="6" t="str">
        <f aca="false">Sheet1_Original_Data!D134</f>
        <v>High Street</v>
      </c>
      <c r="E135" s="6" t="n">
        <f aca="false">Sheet1_Original_Data!E134</f>
        <v>50735.63</v>
      </c>
      <c r="F135" s="6" t="n">
        <f aca="false">Sheet1_Original_Data!F134</f>
        <v>9619</v>
      </c>
      <c r="G135" s="6" t="n">
        <f aca="false">Sheet1_Original_Data!G134</f>
        <v>0.144</v>
      </c>
      <c r="H135" s="6" t="n">
        <f aca="false">Sheet1_Original_Data!H134</f>
        <v>19</v>
      </c>
      <c r="I135" s="6" t="n">
        <f aca="false">Sheet1_Original_Data!I134</f>
        <v>93.8</v>
      </c>
      <c r="J135" s="6" t="n">
        <f aca="false">Sheet1_Original_Data!J134</f>
        <v>5.12</v>
      </c>
      <c r="K135" s="6" t="n">
        <f aca="false">Sheet1_Original_Data!K134</f>
        <v>1</v>
      </c>
      <c r="L135" s="6" t="n">
        <f aca="false">Sheet1_Original_Data!L134</f>
        <v>4.5</v>
      </c>
      <c r="M135" s="6" t="n">
        <f aca="false">Sheet1_Original_Data!M134</f>
        <v>725235.28</v>
      </c>
      <c r="N135" s="6" t="n">
        <f aca="false">Sheet1_Original_Data!N134</f>
        <v>121632.24</v>
      </c>
      <c r="O135" s="4" t="n">
        <f aca="false">IF(Sheet1_Original_Data!J134="",MEDIAN(Sheet1_Original_Data!$J$4:$J$323),Sheet1_Original_Data!J134)</f>
        <v>5.12</v>
      </c>
      <c r="P135" s="4" t="n">
        <f aca="false">IF(Sheet1_Original_Data!L134="",MEDIAN(Sheet1_Original_Data!$L$4:$L$323),Sheet1_Original_Data!L134)</f>
        <v>4.5</v>
      </c>
    </row>
    <row r="136" customFormat="false" ht="15" hidden="false" customHeight="false" outlineLevel="0" collapsed="false">
      <c r="A136" s="6" t="str">
        <f aca="false">Sheet1_Original_Data!A135</f>
        <v>STR-1033</v>
      </c>
      <c r="B136" s="6" t="str">
        <f aca="false">Sheet1_Original_Data!B135</f>
        <v>2025-04-01</v>
      </c>
      <c r="C136" s="6" t="str">
        <f aca="false">Sheet1_Original_Data!C135</f>
        <v>East</v>
      </c>
      <c r="D136" s="6" t="str">
        <f aca="false">Sheet1_Original_Data!D135</f>
        <v>High Street</v>
      </c>
      <c r="E136" s="6" t="n">
        <f aca="false">Sheet1_Original_Data!E135</f>
        <v>66455.8</v>
      </c>
      <c r="F136" s="6" t="n">
        <f aca="false">Sheet1_Original_Data!F135</f>
        <v>10836</v>
      </c>
      <c r="G136" s="6" t="n">
        <f aca="false">Sheet1_Original_Data!G135</f>
        <v>0.089</v>
      </c>
      <c r="H136" s="6" t="n">
        <f aca="false">Sheet1_Original_Data!H135</f>
        <v>25</v>
      </c>
      <c r="I136" s="6" t="n">
        <f aca="false">Sheet1_Original_Data!I135</f>
        <v>85</v>
      </c>
      <c r="J136" s="6" t="n">
        <f aca="false">Sheet1_Original_Data!J135</f>
        <v>9.77</v>
      </c>
      <c r="K136" s="6" t="n">
        <f aca="false">Sheet1_Original_Data!K135</f>
        <v>0</v>
      </c>
      <c r="L136" s="6" t="n">
        <f aca="false">Sheet1_Original_Data!L135</f>
        <v>4.5</v>
      </c>
      <c r="M136" s="6" t="n">
        <f aca="false">Sheet1_Original_Data!M135</f>
        <v>811452.72</v>
      </c>
      <c r="N136" s="6" t="n">
        <f aca="false">Sheet1_Original_Data!N135</f>
        <v>131325.67</v>
      </c>
      <c r="O136" s="4" t="n">
        <f aca="false">IF(Sheet1_Original_Data!J135="",MEDIAN(Sheet1_Original_Data!$J$4:$J$323),Sheet1_Original_Data!J135)</f>
        <v>9.77</v>
      </c>
      <c r="P136" s="4" t="n">
        <f aca="false">IF(Sheet1_Original_Data!L135="",MEDIAN(Sheet1_Original_Data!$L$4:$L$323),Sheet1_Original_Data!L135)</f>
        <v>4.5</v>
      </c>
    </row>
    <row r="137" customFormat="false" ht="15" hidden="false" customHeight="false" outlineLevel="0" collapsed="false">
      <c r="A137" s="6" t="str">
        <f aca="false">Sheet1_Original_Data!A136</f>
        <v>STR-1034</v>
      </c>
      <c r="B137" s="6" t="str">
        <f aca="false">Sheet1_Original_Data!B136</f>
        <v>2025-01-01</v>
      </c>
      <c r="C137" s="6" t="str">
        <f aca="false">Sheet1_Original_Data!C136</f>
        <v>North</v>
      </c>
      <c r="D137" s="6" t="str">
        <f aca="false">Sheet1_Original_Data!D136</f>
        <v>High Street</v>
      </c>
      <c r="E137" s="6" t="n">
        <f aca="false">Sheet1_Original_Data!E136</f>
        <v>70276.28</v>
      </c>
      <c r="F137" s="6" t="n">
        <f aca="false">Sheet1_Original_Data!F136</f>
        <v>3043</v>
      </c>
      <c r="G137" s="6" t="n">
        <f aca="false">Sheet1_Original_Data!G136</f>
        <v>0.079</v>
      </c>
      <c r="H137" s="6" t="n">
        <f aca="false">Sheet1_Original_Data!H136</f>
        <v>9</v>
      </c>
      <c r="I137" s="6" t="n">
        <f aca="false">Sheet1_Original_Data!I136</f>
        <v>87.9</v>
      </c>
      <c r="J137" s="6" t="n">
        <f aca="false">Sheet1_Original_Data!J136</f>
        <v>3.77</v>
      </c>
      <c r="K137" s="6" t="n">
        <f aca="false">Sheet1_Original_Data!K136</f>
        <v>0</v>
      </c>
      <c r="L137" s="6" t="n">
        <f aca="false">Sheet1_Original_Data!L136</f>
        <v>4.4</v>
      </c>
      <c r="M137" s="6" t="n">
        <f aca="false">Sheet1_Original_Data!M136</f>
        <v>527300.13</v>
      </c>
      <c r="N137" s="6" t="n">
        <f aca="false">Sheet1_Original_Data!N136</f>
        <v>84197.87</v>
      </c>
      <c r="O137" s="4" t="n">
        <f aca="false">IF(Sheet1_Original_Data!J136="",MEDIAN(Sheet1_Original_Data!$J$4:$J$323),Sheet1_Original_Data!J136)</f>
        <v>3.77</v>
      </c>
      <c r="P137" s="4" t="n">
        <f aca="false">IF(Sheet1_Original_Data!L136="",MEDIAN(Sheet1_Original_Data!$L$4:$L$323),Sheet1_Original_Data!L136)</f>
        <v>4.4</v>
      </c>
    </row>
    <row r="138" customFormat="false" ht="15" hidden="false" customHeight="false" outlineLevel="0" collapsed="false">
      <c r="A138" s="6" t="str">
        <f aca="false">Sheet1_Original_Data!A137</f>
        <v>STR-1034</v>
      </c>
      <c r="B138" s="6" t="str">
        <f aca="false">Sheet1_Original_Data!B137</f>
        <v>2025-02-01</v>
      </c>
      <c r="C138" s="6" t="str">
        <f aca="false">Sheet1_Original_Data!C137</f>
        <v>North</v>
      </c>
      <c r="D138" s="6" t="str">
        <f aca="false">Sheet1_Original_Data!D137</f>
        <v>High Street</v>
      </c>
      <c r="E138" s="6" t="n">
        <f aca="false">Sheet1_Original_Data!E137</f>
        <v>22071.64</v>
      </c>
      <c r="F138" s="6" t="n">
        <f aca="false">Sheet1_Original_Data!F137</f>
        <v>1814</v>
      </c>
      <c r="G138" s="6" t="n">
        <f aca="false">Sheet1_Original_Data!G137</f>
        <v>0.196</v>
      </c>
      <c r="H138" s="6" t="n">
        <f aca="false">Sheet1_Original_Data!H137</f>
        <v>8</v>
      </c>
      <c r="I138" s="6" t="n">
        <f aca="false">Sheet1_Original_Data!I137</f>
        <v>81.1</v>
      </c>
      <c r="J138" s="6" t="n">
        <f aca="false">Sheet1_Original_Data!J137</f>
        <v>0.78</v>
      </c>
      <c r="K138" s="6" t="n">
        <f aca="false">Sheet1_Original_Data!K137</f>
        <v>0</v>
      </c>
      <c r="L138" s="6" t="n">
        <f aca="false">Sheet1_Original_Data!L137</f>
        <v>0</v>
      </c>
      <c r="M138" s="6" t="n">
        <f aca="false">Sheet1_Original_Data!M137</f>
        <v>400831.65</v>
      </c>
      <c r="N138" s="6" t="n">
        <f aca="false">Sheet1_Original_Data!N137</f>
        <v>70979.31</v>
      </c>
      <c r="O138" s="4" t="n">
        <f aca="false">IF(Sheet1_Original_Data!J137="",MEDIAN(Sheet1_Original_Data!$J$4:$J$323),Sheet1_Original_Data!J137)</f>
        <v>0.78</v>
      </c>
      <c r="P138" s="4" t="n">
        <f aca="false">IF(Sheet1_Original_Data!L137="",MEDIAN(Sheet1_Original_Data!$L$4:$L$323),Sheet1_Original_Data!L137)</f>
        <v>3.9</v>
      </c>
    </row>
    <row r="139" customFormat="false" ht="15" hidden="false" customHeight="false" outlineLevel="0" collapsed="false">
      <c r="A139" s="6" t="str">
        <f aca="false">Sheet1_Original_Data!A138</f>
        <v>STR-1034</v>
      </c>
      <c r="B139" s="6" t="str">
        <f aca="false">Sheet1_Original_Data!B138</f>
        <v>2025-03-01</v>
      </c>
      <c r="C139" s="6" t="str">
        <f aca="false">Sheet1_Original_Data!C138</f>
        <v>North</v>
      </c>
      <c r="D139" s="6" t="str">
        <f aca="false">Sheet1_Original_Data!D138</f>
        <v>High Street</v>
      </c>
      <c r="E139" s="6" t="n">
        <f aca="false">Sheet1_Original_Data!E138</f>
        <v>52285.45</v>
      </c>
      <c r="F139" s="6" t="n">
        <f aca="false">Sheet1_Original_Data!F138</f>
        <v>3618</v>
      </c>
      <c r="G139" s="6" t="n">
        <f aca="false">Sheet1_Original_Data!G138</f>
        <v>0.086</v>
      </c>
      <c r="H139" s="6" t="n">
        <f aca="false">Sheet1_Original_Data!H138</f>
        <v>11</v>
      </c>
      <c r="I139" s="6" t="n">
        <f aca="false">Sheet1_Original_Data!I138</f>
        <v>95.6</v>
      </c>
      <c r="J139" s="6" t="n">
        <f aca="false">Sheet1_Original_Data!J138</f>
        <v>5.17</v>
      </c>
      <c r="K139" s="6" t="n">
        <f aca="false">Sheet1_Original_Data!K138</f>
        <v>1</v>
      </c>
      <c r="L139" s="6" t="n">
        <f aca="false">Sheet1_Original_Data!L138</f>
        <v>4.4</v>
      </c>
      <c r="M139" s="6" t="n">
        <f aca="false">Sheet1_Original_Data!M138</f>
        <v>593247.25</v>
      </c>
      <c r="N139" s="6" t="n">
        <f aca="false">Sheet1_Original_Data!N138</f>
        <v>81240.29</v>
      </c>
      <c r="O139" s="4" t="n">
        <f aca="false">IF(Sheet1_Original_Data!J138="",MEDIAN(Sheet1_Original_Data!$J$4:$J$323),Sheet1_Original_Data!J138)</f>
        <v>5.17</v>
      </c>
      <c r="P139" s="4" t="n">
        <f aca="false">IF(Sheet1_Original_Data!L138="",MEDIAN(Sheet1_Original_Data!$L$4:$L$323),Sheet1_Original_Data!L138)</f>
        <v>4.4</v>
      </c>
    </row>
    <row r="140" customFormat="false" ht="15" hidden="false" customHeight="false" outlineLevel="0" collapsed="false">
      <c r="A140" s="6" t="str">
        <f aca="false">Sheet1_Original_Data!A139</f>
        <v>STR-1034</v>
      </c>
      <c r="B140" s="6" t="str">
        <f aca="false">Sheet1_Original_Data!B139</f>
        <v>2025-04-01</v>
      </c>
      <c r="C140" s="6" t="str">
        <f aca="false">Sheet1_Original_Data!C139</f>
        <v>North</v>
      </c>
      <c r="D140" s="6" t="str">
        <f aca="false">Sheet1_Original_Data!D139</f>
        <v>High Street</v>
      </c>
      <c r="E140" s="6" t="n">
        <f aca="false">Sheet1_Original_Data!E139</f>
        <v>70366.76</v>
      </c>
      <c r="F140" s="6" t="n">
        <f aca="false">Sheet1_Original_Data!F139</f>
        <v>1963</v>
      </c>
      <c r="G140" s="6" t="n">
        <f aca="false">Sheet1_Original_Data!G139</f>
        <v>0.182</v>
      </c>
      <c r="H140" s="6" t="n">
        <f aca="false">Sheet1_Original_Data!H139</f>
        <v>8</v>
      </c>
      <c r="I140" s="6" t="n">
        <f aca="false">Sheet1_Original_Data!I139</f>
        <v>89.8</v>
      </c>
      <c r="J140" s="6" t="n">
        <f aca="false">Sheet1_Original_Data!J139</f>
        <v>3.2</v>
      </c>
      <c r="K140" s="6" t="n">
        <f aca="false">Sheet1_Original_Data!K139</f>
        <v>0</v>
      </c>
      <c r="L140" s="6" t="n">
        <f aca="false">Sheet1_Original_Data!L139</f>
        <v>4.6</v>
      </c>
      <c r="M140" s="6" t="n">
        <f aca="false">Sheet1_Original_Data!M139</f>
        <v>529075.95</v>
      </c>
      <c r="N140" s="6" t="n">
        <f aca="false">Sheet1_Original_Data!N139</f>
        <v>95978.83</v>
      </c>
      <c r="O140" s="4" t="n">
        <f aca="false">IF(Sheet1_Original_Data!J139="",MEDIAN(Sheet1_Original_Data!$J$4:$J$323),Sheet1_Original_Data!J139)</f>
        <v>3.2</v>
      </c>
      <c r="P140" s="4" t="n">
        <f aca="false">IF(Sheet1_Original_Data!L139="",MEDIAN(Sheet1_Original_Data!$L$4:$L$323),Sheet1_Original_Data!L139)</f>
        <v>4.6</v>
      </c>
    </row>
    <row r="141" customFormat="false" ht="15" hidden="false" customHeight="false" outlineLevel="0" collapsed="false">
      <c r="A141" s="6" t="str">
        <f aca="false">Sheet1_Original_Data!A140</f>
        <v>STR-1035</v>
      </c>
      <c r="B141" s="6" t="str">
        <f aca="false">Sheet1_Original_Data!B140</f>
        <v>2025-01-01</v>
      </c>
      <c r="C141" s="6" t="str">
        <f aca="false">Sheet1_Original_Data!C140</f>
        <v>South</v>
      </c>
      <c r="D141" s="6" t="str">
        <f aca="false">Sheet1_Original_Data!D140</f>
        <v>Residential</v>
      </c>
      <c r="E141" s="6" t="n">
        <f aca="false">Sheet1_Original_Data!E140</f>
        <v>71320.66</v>
      </c>
      <c r="F141" s="6" t="n">
        <f aca="false">Sheet1_Original_Data!F140</f>
        <v>7888</v>
      </c>
      <c r="G141" s="6" t="n">
        <f aca="false">Sheet1_Original_Data!G140</f>
        <v>0.048</v>
      </c>
      <c r="H141" s="6" t="n">
        <f aca="false">Sheet1_Original_Data!H140</f>
        <v>20</v>
      </c>
      <c r="I141" s="6" t="n">
        <f aca="false">Sheet1_Original_Data!I140</f>
        <v>78.1</v>
      </c>
      <c r="J141" s="6" t="n">
        <f aca="false">Sheet1_Original_Data!J140</f>
        <v>3.4</v>
      </c>
      <c r="K141" s="6" t="n">
        <f aca="false">Sheet1_Original_Data!K140</f>
        <v>0</v>
      </c>
      <c r="L141" s="6" t="n">
        <f aca="false">Sheet1_Original_Data!L140</f>
        <v>0</v>
      </c>
      <c r="M141" s="6" t="n">
        <f aca="false">Sheet1_Original_Data!M140</f>
        <v>633638.03</v>
      </c>
      <c r="N141" s="6" t="n">
        <f aca="false">Sheet1_Original_Data!N140</f>
        <v>99402.01</v>
      </c>
      <c r="O141" s="4" t="n">
        <f aca="false">IF(Sheet1_Original_Data!J140="",MEDIAN(Sheet1_Original_Data!$J$4:$J$323),Sheet1_Original_Data!J140)</f>
        <v>3.4</v>
      </c>
      <c r="P141" s="4" t="n">
        <f aca="false">IF(Sheet1_Original_Data!L140="",MEDIAN(Sheet1_Original_Data!$L$4:$L$323),Sheet1_Original_Data!L140)</f>
        <v>3.9</v>
      </c>
    </row>
    <row r="142" customFormat="false" ht="15" hidden="false" customHeight="false" outlineLevel="0" collapsed="false">
      <c r="A142" s="6" t="str">
        <f aca="false">Sheet1_Original_Data!A141</f>
        <v>STR-1035</v>
      </c>
      <c r="B142" s="6" t="str">
        <f aca="false">Sheet1_Original_Data!B141</f>
        <v>2025-02-01</v>
      </c>
      <c r="C142" s="6" t="str">
        <f aca="false">Sheet1_Original_Data!C141</f>
        <v>South</v>
      </c>
      <c r="D142" s="6" t="str">
        <f aca="false">Sheet1_Original_Data!D141</f>
        <v>Residential</v>
      </c>
      <c r="E142" s="6" t="n">
        <f aca="false">Sheet1_Original_Data!E141</f>
        <v>75109.67</v>
      </c>
      <c r="F142" s="6" t="n">
        <f aca="false">Sheet1_Original_Data!F141</f>
        <v>6244</v>
      </c>
      <c r="G142" s="6" t="n">
        <f aca="false">Sheet1_Original_Data!G141</f>
        <v>0.079</v>
      </c>
      <c r="H142" s="6" t="n">
        <f aca="false">Sheet1_Original_Data!H141</f>
        <v>15</v>
      </c>
      <c r="I142" s="6" t="n">
        <f aca="false">Sheet1_Original_Data!I141</f>
        <v>96.3</v>
      </c>
      <c r="J142" s="6" t="n">
        <f aca="false">Sheet1_Original_Data!J141</f>
        <v>7.38</v>
      </c>
      <c r="K142" s="6" t="n">
        <f aca="false">Sheet1_Original_Data!K141</f>
        <v>0</v>
      </c>
      <c r="L142" s="6" t="n">
        <f aca="false">Sheet1_Original_Data!L141</f>
        <v>3.7</v>
      </c>
      <c r="M142" s="6" t="n">
        <f aca="false">Sheet1_Original_Data!M141</f>
        <v>743348.84</v>
      </c>
      <c r="N142" s="6" t="n">
        <f aca="false">Sheet1_Original_Data!N141</f>
        <v>104186.09</v>
      </c>
      <c r="O142" s="4" t="n">
        <f aca="false">IF(Sheet1_Original_Data!J141="",MEDIAN(Sheet1_Original_Data!$J$4:$J$323),Sheet1_Original_Data!J141)</f>
        <v>7.38</v>
      </c>
      <c r="P142" s="4" t="n">
        <f aca="false">IF(Sheet1_Original_Data!L141="",MEDIAN(Sheet1_Original_Data!$L$4:$L$323),Sheet1_Original_Data!L141)</f>
        <v>3.7</v>
      </c>
    </row>
    <row r="143" customFormat="false" ht="15" hidden="false" customHeight="false" outlineLevel="0" collapsed="false">
      <c r="A143" s="6" t="str">
        <f aca="false">Sheet1_Original_Data!A142</f>
        <v>STR-1035</v>
      </c>
      <c r="B143" s="6" t="str">
        <f aca="false">Sheet1_Original_Data!B142</f>
        <v>2025-03-01</v>
      </c>
      <c r="C143" s="6" t="str">
        <f aca="false">Sheet1_Original_Data!C142</f>
        <v>South</v>
      </c>
      <c r="D143" s="6" t="str">
        <f aca="false">Sheet1_Original_Data!D142</f>
        <v>Residential</v>
      </c>
      <c r="E143" s="6" t="n">
        <f aca="false">Sheet1_Original_Data!E142</f>
        <v>69779</v>
      </c>
      <c r="F143" s="6" t="n">
        <f aca="false">Sheet1_Original_Data!F142</f>
        <v>6544</v>
      </c>
      <c r="G143" s="6" t="n">
        <f aca="false">Sheet1_Original_Data!G142</f>
        <v>0.152</v>
      </c>
      <c r="H143" s="6" t="n">
        <f aca="false">Sheet1_Original_Data!H142</f>
        <v>18</v>
      </c>
      <c r="I143" s="6" t="n">
        <f aca="false">Sheet1_Original_Data!I142</f>
        <v>90.2</v>
      </c>
      <c r="J143" s="6" t="n">
        <f aca="false">Sheet1_Original_Data!J142</f>
        <v>0.85</v>
      </c>
      <c r="K143" s="6" t="n">
        <f aca="false">Sheet1_Original_Data!K142</f>
        <v>1</v>
      </c>
      <c r="L143" s="6" t="n">
        <f aca="false">Sheet1_Original_Data!L142</f>
        <v>3.3</v>
      </c>
      <c r="M143" s="6" t="n">
        <f aca="false">Sheet1_Original_Data!M142</f>
        <v>758827.64</v>
      </c>
      <c r="N143" s="6" t="n">
        <f aca="false">Sheet1_Original_Data!N142</f>
        <v>161439.48</v>
      </c>
      <c r="O143" s="4" t="n">
        <f aca="false">IF(Sheet1_Original_Data!J142="",MEDIAN(Sheet1_Original_Data!$J$4:$J$323),Sheet1_Original_Data!J142)</f>
        <v>0.85</v>
      </c>
      <c r="P143" s="4" t="n">
        <f aca="false">IF(Sheet1_Original_Data!L142="",MEDIAN(Sheet1_Original_Data!$L$4:$L$323),Sheet1_Original_Data!L142)</f>
        <v>3.3</v>
      </c>
    </row>
    <row r="144" customFormat="false" ht="15" hidden="false" customHeight="false" outlineLevel="0" collapsed="false">
      <c r="A144" s="6" t="str">
        <f aca="false">Sheet1_Original_Data!A143</f>
        <v>STR-1035</v>
      </c>
      <c r="B144" s="6" t="str">
        <f aca="false">Sheet1_Original_Data!B143</f>
        <v>2025-04-01</v>
      </c>
      <c r="C144" s="6" t="str">
        <f aca="false">Sheet1_Original_Data!C143</f>
        <v>South</v>
      </c>
      <c r="D144" s="6" t="str">
        <f aca="false">Sheet1_Original_Data!D143</f>
        <v>Residential</v>
      </c>
      <c r="E144" s="6" t="n">
        <f aca="false">Sheet1_Original_Data!E143</f>
        <v>44211.95</v>
      </c>
      <c r="F144" s="6" t="n">
        <f aca="false">Sheet1_Original_Data!F143</f>
        <v>5465</v>
      </c>
      <c r="G144" s="6" t="n">
        <f aca="false">Sheet1_Original_Data!G143</f>
        <v>0.187</v>
      </c>
      <c r="H144" s="6" t="n">
        <f aca="false">Sheet1_Original_Data!H143</f>
        <v>12</v>
      </c>
      <c r="I144" s="6" t="n">
        <f aca="false">Sheet1_Original_Data!I143</f>
        <v>90</v>
      </c>
      <c r="J144" s="6" t="n">
        <f aca="false">Sheet1_Original_Data!J143</f>
        <v>2.89</v>
      </c>
      <c r="K144" s="6" t="n">
        <f aca="false">Sheet1_Original_Data!K143</f>
        <v>0</v>
      </c>
      <c r="L144" s="6" t="n">
        <f aca="false">Sheet1_Original_Data!L143</f>
        <v>3.6</v>
      </c>
      <c r="M144" s="6" t="n">
        <f aca="false">Sheet1_Original_Data!M143</f>
        <v>646559.71</v>
      </c>
      <c r="N144" s="6" t="n">
        <f aca="false">Sheet1_Original_Data!N143</f>
        <v>97981.75</v>
      </c>
      <c r="O144" s="4" t="n">
        <f aca="false">IF(Sheet1_Original_Data!J143="",MEDIAN(Sheet1_Original_Data!$J$4:$J$323),Sheet1_Original_Data!J143)</f>
        <v>2.89</v>
      </c>
      <c r="P144" s="4" t="n">
        <f aca="false">IF(Sheet1_Original_Data!L143="",MEDIAN(Sheet1_Original_Data!$L$4:$L$323),Sheet1_Original_Data!L143)</f>
        <v>3.6</v>
      </c>
    </row>
    <row r="145" customFormat="false" ht="15" hidden="false" customHeight="false" outlineLevel="0" collapsed="false">
      <c r="A145" s="6" t="str">
        <f aca="false">Sheet1_Original_Data!A144</f>
        <v>STR-1036</v>
      </c>
      <c r="B145" s="6" t="str">
        <f aca="false">Sheet1_Original_Data!B144</f>
        <v>2025-01-01</v>
      </c>
      <c r="C145" s="6" t="str">
        <f aca="false">Sheet1_Original_Data!C144</f>
        <v>West</v>
      </c>
      <c r="D145" s="6" t="str">
        <f aca="false">Sheet1_Original_Data!D144</f>
        <v>High Street</v>
      </c>
      <c r="E145" s="6" t="n">
        <f aca="false">Sheet1_Original_Data!E144</f>
        <v>51430.31</v>
      </c>
      <c r="F145" s="6" t="n">
        <f aca="false">Sheet1_Original_Data!F144</f>
        <v>6427</v>
      </c>
      <c r="G145" s="6" t="n">
        <f aca="false">Sheet1_Original_Data!G144</f>
        <v>0.234</v>
      </c>
      <c r="H145" s="6" t="n">
        <f aca="false">Sheet1_Original_Data!H144</f>
        <v>14</v>
      </c>
      <c r="I145" s="6" t="n">
        <f aca="false">Sheet1_Original_Data!I144</f>
        <v>88.8</v>
      </c>
      <c r="J145" s="6" t="n">
        <f aca="false">Sheet1_Original_Data!J144</f>
        <v>0.77</v>
      </c>
      <c r="K145" s="6" t="n">
        <f aca="false">Sheet1_Original_Data!K144</f>
        <v>0</v>
      </c>
      <c r="L145" s="6" t="n">
        <f aca="false">Sheet1_Original_Data!L144</f>
        <v>4.1</v>
      </c>
      <c r="M145" s="6" t="n">
        <f aca="false">Sheet1_Original_Data!M144</f>
        <v>715890.53</v>
      </c>
      <c r="N145" s="6" t="n">
        <f aca="false">Sheet1_Original_Data!N144</f>
        <v>109032.15</v>
      </c>
      <c r="O145" s="4" t="n">
        <f aca="false">IF(Sheet1_Original_Data!J144="",MEDIAN(Sheet1_Original_Data!$J$4:$J$323),Sheet1_Original_Data!J144)</f>
        <v>0.77</v>
      </c>
      <c r="P145" s="4" t="n">
        <f aca="false">IF(Sheet1_Original_Data!L144="",MEDIAN(Sheet1_Original_Data!$L$4:$L$323),Sheet1_Original_Data!L144)</f>
        <v>4.1</v>
      </c>
    </row>
    <row r="146" customFormat="false" ht="15" hidden="false" customHeight="false" outlineLevel="0" collapsed="false">
      <c r="A146" s="6" t="str">
        <f aca="false">Sheet1_Original_Data!A145</f>
        <v>STR-1036</v>
      </c>
      <c r="B146" s="6" t="str">
        <f aca="false">Sheet1_Original_Data!B145</f>
        <v>2025-02-01</v>
      </c>
      <c r="C146" s="6" t="str">
        <f aca="false">Sheet1_Original_Data!C145</f>
        <v>West</v>
      </c>
      <c r="D146" s="6" t="str">
        <f aca="false">Sheet1_Original_Data!D145</f>
        <v>High Street</v>
      </c>
      <c r="E146" s="6" t="n">
        <f aca="false">Sheet1_Original_Data!E145</f>
        <v>45706.49</v>
      </c>
      <c r="F146" s="6" t="n">
        <f aca="false">Sheet1_Original_Data!F145</f>
        <v>6704</v>
      </c>
      <c r="G146" s="6" t="n">
        <f aca="false">Sheet1_Original_Data!G145</f>
        <v>0.038</v>
      </c>
      <c r="H146" s="6" t="n">
        <f aca="false">Sheet1_Original_Data!H145</f>
        <v>15</v>
      </c>
      <c r="I146" s="6" t="n">
        <f aca="false">Sheet1_Original_Data!I145</f>
        <v>94.2</v>
      </c>
      <c r="J146" s="6" t="n">
        <f aca="false">Sheet1_Original_Data!J145</f>
        <v>2.92</v>
      </c>
      <c r="K146" s="6" t="n">
        <f aca="false">Sheet1_Original_Data!K145</f>
        <v>0</v>
      </c>
      <c r="L146" s="6" t="n">
        <f aca="false">Sheet1_Original_Data!L145</f>
        <v>4.2</v>
      </c>
      <c r="M146" s="6" t="n">
        <f aca="false">Sheet1_Original_Data!M145</f>
        <v>715097.57</v>
      </c>
      <c r="N146" s="6" t="n">
        <f aca="false">Sheet1_Original_Data!N145</f>
        <v>151875.86</v>
      </c>
      <c r="O146" s="4" t="n">
        <f aca="false">IF(Sheet1_Original_Data!J145="",MEDIAN(Sheet1_Original_Data!$J$4:$J$323),Sheet1_Original_Data!J145)</f>
        <v>2.92</v>
      </c>
      <c r="P146" s="4" t="n">
        <f aca="false">IF(Sheet1_Original_Data!L145="",MEDIAN(Sheet1_Original_Data!$L$4:$L$323),Sheet1_Original_Data!L145)</f>
        <v>4.2</v>
      </c>
    </row>
    <row r="147" customFormat="false" ht="15" hidden="false" customHeight="false" outlineLevel="0" collapsed="false">
      <c r="A147" s="6" t="str">
        <f aca="false">Sheet1_Original_Data!A146</f>
        <v>STR-1036</v>
      </c>
      <c r="B147" s="6" t="str">
        <f aca="false">Sheet1_Original_Data!B146</f>
        <v>2025-03-01</v>
      </c>
      <c r="C147" s="6" t="str">
        <f aca="false">Sheet1_Original_Data!C146</f>
        <v>West</v>
      </c>
      <c r="D147" s="6" t="str">
        <f aca="false">Sheet1_Original_Data!D146</f>
        <v>High Street</v>
      </c>
      <c r="E147" s="6" t="n">
        <f aca="false">Sheet1_Original_Data!E146</f>
        <v>44034.6</v>
      </c>
      <c r="F147" s="6" t="n">
        <f aca="false">Sheet1_Original_Data!F146</f>
        <v>5645</v>
      </c>
      <c r="G147" s="6" t="n">
        <f aca="false">Sheet1_Original_Data!G146</f>
        <v>0.069</v>
      </c>
      <c r="H147" s="6" t="n">
        <f aca="false">Sheet1_Original_Data!H146</f>
        <v>18</v>
      </c>
      <c r="I147" s="6" t="n">
        <f aca="false">Sheet1_Original_Data!I146</f>
        <v>88.5</v>
      </c>
      <c r="J147" s="6" t="n">
        <f aca="false">Sheet1_Original_Data!J146</f>
        <v>3.07</v>
      </c>
      <c r="K147" s="6" t="n">
        <f aca="false">Sheet1_Original_Data!K146</f>
        <v>0</v>
      </c>
      <c r="L147" s="6" t="n">
        <f aca="false">Sheet1_Original_Data!L146</f>
        <v>3.8</v>
      </c>
      <c r="M147" s="6" t="n">
        <f aca="false">Sheet1_Original_Data!M146</f>
        <v>682639.28</v>
      </c>
      <c r="N147" s="6" t="n">
        <f aca="false">Sheet1_Original_Data!N146</f>
        <v>77557.53</v>
      </c>
      <c r="O147" s="4" t="n">
        <f aca="false">IF(Sheet1_Original_Data!J146="",MEDIAN(Sheet1_Original_Data!$J$4:$J$323),Sheet1_Original_Data!J146)</f>
        <v>3.07</v>
      </c>
      <c r="P147" s="4" t="n">
        <f aca="false">IF(Sheet1_Original_Data!L146="",MEDIAN(Sheet1_Original_Data!$L$4:$L$323),Sheet1_Original_Data!L146)</f>
        <v>3.8</v>
      </c>
    </row>
    <row r="148" customFormat="false" ht="15" hidden="false" customHeight="false" outlineLevel="0" collapsed="false">
      <c r="A148" s="6" t="str">
        <f aca="false">Sheet1_Original_Data!A147</f>
        <v>STR-1036</v>
      </c>
      <c r="B148" s="6" t="str">
        <f aca="false">Sheet1_Original_Data!B147</f>
        <v>2025-04-01</v>
      </c>
      <c r="C148" s="6" t="str">
        <f aca="false">Sheet1_Original_Data!C147</f>
        <v>West</v>
      </c>
      <c r="D148" s="6" t="str">
        <f aca="false">Sheet1_Original_Data!D147</f>
        <v>High Street</v>
      </c>
      <c r="E148" s="6" t="n">
        <f aca="false">Sheet1_Original_Data!E147</f>
        <v>50198.12</v>
      </c>
      <c r="F148" s="6" t="n">
        <f aca="false">Sheet1_Original_Data!F147</f>
        <v>6089</v>
      </c>
      <c r="G148" s="6" t="n">
        <f aca="false">Sheet1_Original_Data!G147</f>
        <v>0.182</v>
      </c>
      <c r="H148" s="6" t="n">
        <f aca="false">Sheet1_Original_Data!H147</f>
        <v>19</v>
      </c>
      <c r="I148" s="6" t="n">
        <f aca="false">Sheet1_Original_Data!I147</f>
        <v>94</v>
      </c>
      <c r="J148" s="6" t="n">
        <f aca="false">Sheet1_Original_Data!J147</f>
        <v>9.7</v>
      </c>
      <c r="K148" s="6" t="n">
        <f aca="false">Sheet1_Original_Data!K147</f>
        <v>0</v>
      </c>
      <c r="L148" s="6" t="n">
        <f aca="false">Sheet1_Original_Data!L147</f>
        <v>3.9</v>
      </c>
      <c r="M148" s="6" t="n">
        <f aca="false">Sheet1_Original_Data!M147</f>
        <v>695098.51</v>
      </c>
      <c r="N148" s="6" t="n">
        <f aca="false">Sheet1_Original_Data!N147</f>
        <v>108192.75</v>
      </c>
      <c r="O148" s="4" t="n">
        <f aca="false">IF(Sheet1_Original_Data!J147="",MEDIAN(Sheet1_Original_Data!$J$4:$J$323),Sheet1_Original_Data!J147)</f>
        <v>9.7</v>
      </c>
      <c r="P148" s="4" t="n">
        <f aca="false">IF(Sheet1_Original_Data!L147="",MEDIAN(Sheet1_Original_Data!$L$4:$L$323),Sheet1_Original_Data!L147)</f>
        <v>3.9</v>
      </c>
    </row>
    <row r="149" customFormat="false" ht="15" hidden="false" customHeight="false" outlineLevel="0" collapsed="false">
      <c r="A149" s="6" t="str">
        <f aca="false">Sheet1_Original_Data!A148</f>
        <v>STR-1037</v>
      </c>
      <c r="B149" s="6" t="str">
        <f aca="false">Sheet1_Original_Data!B148</f>
        <v>2025-01-01</v>
      </c>
      <c r="C149" s="6" t="str">
        <f aca="false">Sheet1_Original_Data!C148</f>
        <v>North</v>
      </c>
      <c r="D149" s="6" t="str">
        <f aca="false">Sheet1_Original_Data!D148</f>
        <v>Residential</v>
      </c>
      <c r="E149" s="6" t="n">
        <f aca="false">Sheet1_Original_Data!E148</f>
        <v>70488.2</v>
      </c>
      <c r="F149" s="6" t="n">
        <f aca="false">Sheet1_Original_Data!F148</f>
        <v>4312</v>
      </c>
      <c r="G149" s="6" t="n">
        <f aca="false">Sheet1_Original_Data!G148</f>
        <v>0.169</v>
      </c>
      <c r="H149" s="6" t="n">
        <f aca="false">Sheet1_Original_Data!H148</f>
        <v>12</v>
      </c>
      <c r="I149" s="6" t="n">
        <f aca="false">Sheet1_Original_Data!I148</f>
        <v>90.2</v>
      </c>
      <c r="J149" s="6" t="n">
        <f aca="false">Sheet1_Original_Data!J148</f>
        <v>3.71</v>
      </c>
      <c r="K149" s="6" t="n">
        <f aca="false">Sheet1_Original_Data!K148</f>
        <v>0</v>
      </c>
      <c r="L149" s="6" t="n">
        <f aca="false">Sheet1_Original_Data!L148</f>
        <v>3.2</v>
      </c>
      <c r="M149" s="6" t="n">
        <f aca="false">Sheet1_Original_Data!M148</f>
        <v>577732.57</v>
      </c>
      <c r="N149" s="6" t="n">
        <f aca="false">Sheet1_Original_Data!N148</f>
        <v>93804.27</v>
      </c>
      <c r="O149" s="4" t="n">
        <f aca="false">IF(Sheet1_Original_Data!J148="",MEDIAN(Sheet1_Original_Data!$J$4:$J$323),Sheet1_Original_Data!J148)</f>
        <v>3.71</v>
      </c>
      <c r="P149" s="4" t="n">
        <f aca="false">IF(Sheet1_Original_Data!L148="",MEDIAN(Sheet1_Original_Data!$L$4:$L$323),Sheet1_Original_Data!L148)</f>
        <v>3.2</v>
      </c>
    </row>
    <row r="150" customFormat="false" ht="15" hidden="false" customHeight="false" outlineLevel="0" collapsed="false">
      <c r="A150" s="6" t="str">
        <f aca="false">Sheet1_Original_Data!A149</f>
        <v>STR-1037</v>
      </c>
      <c r="B150" s="6" t="str">
        <f aca="false">Sheet1_Original_Data!B149</f>
        <v>2025-02-01</v>
      </c>
      <c r="C150" s="6" t="str">
        <f aca="false">Sheet1_Original_Data!C149</f>
        <v>North</v>
      </c>
      <c r="D150" s="6" t="str">
        <f aca="false">Sheet1_Original_Data!D149</f>
        <v>Residential</v>
      </c>
      <c r="E150" s="6" t="n">
        <f aca="false">Sheet1_Original_Data!E149</f>
        <v>50909.27</v>
      </c>
      <c r="F150" s="6" t="n">
        <f aca="false">Sheet1_Original_Data!F149</f>
        <v>3152</v>
      </c>
      <c r="G150" s="6" t="n">
        <f aca="false">Sheet1_Original_Data!G149</f>
        <v>0.06</v>
      </c>
      <c r="H150" s="6" t="n">
        <f aca="false">Sheet1_Original_Data!H149</f>
        <v>13</v>
      </c>
      <c r="I150" s="6" t="n">
        <f aca="false">Sheet1_Original_Data!I149</f>
        <v>93.7</v>
      </c>
      <c r="J150" s="6" t="n">
        <f aca="false">Sheet1_Original_Data!J149</f>
        <v>10.79</v>
      </c>
      <c r="K150" s="6" t="n">
        <f aca="false">Sheet1_Original_Data!K149</f>
        <v>0</v>
      </c>
      <c r="L150" s="6" t="n">
        <f aca="false">Sheet1_Original_Data!L149</f>
        <v>3.5</v>
      </c>
      <c r="M150" s="6" t="n">
        <f aca="false">Sheet1_Original_Data!M149</f>
        <v>537058.33</v>
      </c>
      <c r="N150" s="6" t="n">
        <f aca="false">Sheet1_Original_Data!N149</f>
        <v>93555.71</v>
      </c>
      <c r="O150" s="4" t="n">
        <f aca="false">IF(Sheet1_Original_Data!J149="",MEDIAN(Sheet1_Original_Data!$J$4:$J$323),Sheet1_Original_Data!J149)</f>
        <v>10.79</v>
      </c>
      <c r="P150" s="4" t="n">
        <f aca="false">IF(Sheet1_Original_Data!L149="",MEDIAN(Sheet1_Original_Data!$L$4:$L$323),Sheet1_Original_Data!L149)</f>
        <v>3.5</v>
      </c>
    </row>
    <row r="151" customFormat="false" ht="15" hidden="false" customHeight="false" outlineLevel="0" collapsed="false">
      <c r="A151" s="6" t="str">
        <f aca="false">Sheet1_Original_Data!A150</f>
        <v>STR-1037</v>
      </c>
      <c r="B151" s="6" t="str">
        <f aca="false">Sheet1_Original_Data!B150</f>
        <v>2025-03-01</v>
      </c>
      <c r="C151" s="6" t="str">
        <f aca="false">Sheet1_Original_Data!C150</f>
        <v>North</v>
      </c>
      <c r="D151" s="6" t="str">
        <f aca="false">Sheet1_Original_Data!D150</f>
        <v>Residential</v>
      </c>
      <c r="E151" s="6" t="n">
        <f aca="false">Sheet1_Original_Data!E150</f>
        <v>53351.7</v>
      </c>
      <c r="F151" s="6" t="n">
        <f aca="false">Sheet1_Original_Data!F150</f>
        <v>4259</v>
      </c>
      <c r="G151" s="6" t="n">
        <f aca="false">Sheet1_Original_Data!G150</f>
        <v>0.156</v>
      </c>
      <c r="H151" s="6" t="n">
        <f aca="false">Sheet1_Original_Data!H150</f>
        <v>15</v>
      </c>
      <c r="I151" s="6" t="n">
        <f aca="false">Sheet1_Original_Data!I150</f>
        <v>93.7</v>
      </c>
      <c r="J151" s="6" t="n">
        <f aca="false">Sheet1_Original_Data!J150</f>
        <v>6.03</v>
      </c>
      <c r="K151" s="6" t="n">
        <f aca="false">Sheet1_Original_Data!K150</f>
        <v>0</v>
      </c>
      <c r="L151" s="6" t="n">
        <f aca="false">Sheet1_Original_Data!L150</f>
        <v>3.4</v>
      </c>
      <c r="M151" s="6" t="n">
        <f aca="false">Sheet1_Original_Data!M150</f>
        <v>601568.87</v>
      </c>
      <c r="N151" s="6" t="n">
        <f aca="false">Sheet1_Original_Data!N150</f>
        <v>91634.82</v>
      </c>
      <c r="O151" s="4" t="n">
        <f aca="false">IF(Sheet1_Original_Data!J150="",MEDIAN(Sheet1_Original_Data!$J$4:$J$323),Sheet1_Original_Data!J150)</f>
        <v>6.03</v>
      </c>
      <c r="P151" s="4" t="n">
        <f aca="false">IF(Sheet1_Original_Data!L150="",MEDIAN(Sheet1_Original_Data!$L$4:$L$323),Sheet1_Original_Data!L150)</f>
        <v>3.4</v>
      </c>
    </row>
    <row r="152" customFormat="false" ht="15" hidden="false" customHeight="false" outlineLevel="0" collapsed="false">
      <c r="A152" s="6" t="str">
        <f aca="false">Sheet1_Original_Data!A151</f>
        <v>STR-1037</v>
      </c>
      <c r="B152" s="6" t="str">
        <f aca="false">Sheet1_Original_Data!B151</f>
        <v>2025-04-01</v>
      </c>
      <c r="C152" s="6" t="str">
        <f aca="false">Sheet1_Original_Data!C151</f>
        <v>North</v>
      </c>
      <c r="D152" s="6" t="str">
        <f aca="false">Sheet1_Original_Data!D151</f>
        <v>Residential</v>
      </c>
      <c r="E152" s="6" t="n">
        <f aca="false">Sheet1_Original_Data!E151</f>
        <v>60322.4</v>
      </c>
      <c r="F152" s="6" t="n">
        <f aca="false">Sheet1_Original_Data!F151</f>
        <v>3350</v>
      </c>
      <c r="G152" s="6" t="n">
        <f aca="false">Sheet1_Original_Data!G151</f>
        <v>0.108</v>
      </c>
      <c r="H152" s="6" t="n">
        <f aca="false">Sheet1_Original_Data!H151</f>
        <v>12</v>
      </c>
      <c r="I152" s="6" t="n">
        <f aca="false">Sheet1_Original_Data!I151</f>
        <v>89.4</v>
      </c>
      <c r="J152" s="6" t="n">
        <f aca="false">Sheet1_Original_Data!J151</f>
        <v>4.92</v>
      </c>
      <c r="K152" s="6" t="n">
        <f aca="false">Sheet1_Original_Data!K151</f>
        <v>0</v>
      </c>
      <c r="L152" s="6" t="n">
        <f aca="false">Sheet1_Original_Data!L151</f>
        <v>3.4</v>
      </c>
      <c r="M152" s="6" t="n">
        <f aca="false">Sheet1_Original_Data!M151</f>
        <v>570964.84</v>
      </c>
      <c r="N152" s="6" t="n">
        <f aca="false">Sheet1_Original_Data!N151</f>
        <v>81331.07</v>
      </c>
      <c r="O152" s="4" t="n">
        <f aca="false">IF(Sheet1_Original_Data!J151="",MEDIAN(Sheet1_Original_Data!$J$4:$J$323),Sheet1_Original_Data!J151)</f>
        <v>4.92</v>
      </c>
      <c r="P152" s="4" t="n">
        <f aca="false">IF(Sheet1_Original_Data!L151="",MEDIAN(Sheet1_Original_Data!$L$4:$L$323),Sheet1_Original_Data!L151)</f>
        <v>3.4</v>
      </c>
    </row>
    <row r="153" customFormat="false" ht="15" hidden="false" customHeight="false" outlineLevel="0" collapsed="false">
      <c r="A153" s="6" t="str">
        <f aca="false">Sheet1_Original_Data!A152</f>
        <v>STR-1038</v>
      </c>
      <c r="B153" s="6" t="str">
        <f aca="false">Sheet1_Original_Data!B152</f>
        <v>2025-01-01</v>
      </c>
      <c r="C153" s="6" t="str">
        <f aca="false">Sheet1_Original_Data!C152</f>
        <v>South</v>
      </c>
      <c r="D153" s="6" t="str">
        <f aca="false">Sheet1_Original_Data!D152</f>
        <v>Mall</v>
      </c>
      <c r="E153" s="6" t="n">
        <f aca="false">Sheet1_Original_Data!E152</f>
        <v>51575.68</v>
      </c>
      <c r="F153" s="6" t="n">
        <f aca="false">Sheet1_Original_Data!F152</f>
        <v>5329</v>
      </c>
      <c r="G153" s="6" t="n">
        <f aca="false">Sheet1_Original_Data!G152</f>
        <v>0.047</v>
      </c>
      <c r="H153" s="6" t="n">
        <f aca="false">Sheet1_Original_Data!H152</f>
        <v>17</v>
      </c>
      <c r="I153" s="6" t="n">
        <f aca="false">Sheet1_Original_Data!I152</f>
        <v>88.1</v>
      </c>
      <c r="J153" s="6" t="n">
        <f aca="false">Sheet1_Original_Data!J152</f>
        <v>19.78</v>
      </c>
      <c r="K153" s="6" t="n">
        <f aca="false">Sheet1_Original_Data!K152</f>
        <v>0</v>
      </c>
      <c r="L153" s="6" t="n">
        <f aca="false">Sheet1_Original_Data!L152</f>
        <v>3.8</v>
      </c>
      <c r="M153" s="6" t="n">
        <f aca="false">Sheet1_Original_Data!M152</f>
        <v>614024.91</v>
      </c>
      <c r="N153" s="6" t="n">
        <f aca="false">Sheet1_Original_Data!N152</f>
        <v>84828.93</v>
      </c>
      <c r="O153" s="4" t="n">
        <f aca="false">IF(Sheet1_Original_Data!J152="",MEDIAN(Sheet1_Original_Data!$J$4:$J$323),Sheet1_Original_Data!J152)</f>
        <v>19.78</v>
      </c>
      <c r="P153" s="4" t="n">
        <f aca="false">IF(Sheet1_Original_Data!L152="",MEDIAN(Sheet1_Original_Data!$L$4:$L$323),Sheet1_Original_Data!L152)</f>
        <v>3.8</v>
      </c>
    </row>
    <row r="154" customFormat="false" ht="15" hidden="false" customHeight="false" outlineLevel="0" collapsed="false">
      <c r="A154" s="6" t="str">
        <f aca="false">Sheet1_Original_Data!A153</f>
        <v>STR-1038</v>
      </c>
      <c r="B154" s="6" t="str">
        <f aca="false">Sheet1_Original_Data!B153</f>
        <v>2025-02-01</v>
      </c>
      <c r="C154" s="6" t="str">
        <f aca="false">Sheet1_Original_Data!C153</f>
        <v>South</v>
      </c>
      <c r="D154" s="6" t="str">
        <f aca="false">Sheet1_Original_Data!D153</f>
        <v>Mall</v>
      </c>
      <c r="E154" s="6" t="n">
        <f aca="false">Sheet1_Original_Data!E153</f>
        <v>43319.94</v>
      </c>
      <c r="F154" s="6" t="n">
        <f aca="false">Sheet1_Original_Data!F153</f>
        <v>6551</v>
      </c>
      <c r="G154" s="6" t="n">
        <f aca="false">Sheet1_Original_Data!G153</f>
        <v>0.044</v>
      </c>
      <c r="H154" s="6" t="n">
        <f aca="false">Sheet1_Original_Data!H153</f>
        <v>13</v>
      </c>
      <c r="I154" s="6" t="n">
        <f aca="false">Sheet1_Original_Data!I153</f>
        <v>99</v>
      </c>
      <c r="J154" s="6" t="n">
        <f aca="false">Sheet1_Original_Data!J153</f>
        <v>5.45</v>
      </c>
      <c r="K154" s="6" t="n">
        <f aca="false">Sheet1_Original_Data!K153</f>
        <v>0</v>
      </c>
      <c r="L154" s="6" t="n">
        <f aca="false">Sheet1_Original_Data!L153</f>
        <v>4.1</v>
      </c>
      <c r="M154" s="6" t="n">
        <f aca="false">Sheet1_Original_Data!M153</f>
        <v>712868.35</v>
      </c>
      <c r="N154" s="6" t="n">
        <f aca="false">Sheet1_Original_Data!N153</f>
        <v>133650.51</v>
      </c>
      <c r="O154" s="4" t="n">
        <f aca="false">IF(Sheet1_Original_Data!J153="",MEDIAN(Sheet1_Original_Data!$J$4:$J$323),Sheet1_Original_Data!J153)</f>
        <v>5.45</v>
      </c>
      <c r="P154" s="4" t="n">
        <f aca="false">IF(Sheet1_Original_Data!L153="",MEDIAN(Sheet1_Original_Data!$L$4:$L$323),Sheet1_Original_Data!L153)</f>
        <v>4.1</v>
      </c>
    </row>
    <row r="155" customFormat="false" ht="15" hidden="false" customHeight="false" outlineLevel="0" collapsed="false">
      <c r="A155" s="6" t="str">
        <f aca="false">Sheet1_Original_Data!A154</f>
        <v>STR-1038</v>
      </c>
      <c r="B155" s="6" t="str">
        <f aca="false">Sheet1_Original_Data!B154</f>
        <v>2025-03-01</v>
      </c>
      <c r="C155" s="6" t="str">
        <f aca="false">Sheet1_Original_Data!C154</f>
        <v>South</v>
      </c>
      <c r="D155" s="6" t="str">
        <f aca="false">Sheet1_Original_Data!D154</f>
        <v>Mall</v>
      </c>
      <c r="E155" s="6" t="n">
        <f aca="false">Sheet1_Original_Data!E154</f>
        <v>47093.55</v>
      </c>
      <c r="F155" s="6" t="n">
        <f aca="false">Sheet1_Original_Data!F154</f>
        <v>5550</v>
      </c>
      <c r="G155" s="6" t="n">
        <f aca="false">Sheet1_Original_Data!G154</f>
        <v>0.1</v>
      </c>
      <c r="H155" s="6" t="n">
        <f aca="false">Sheet1_Original_Data!H154</f>
        <v>12</v>
      </c>
      <c r="I155" s="6" t="n">
        <f aca="false">Sheet1_Original_Data!I154</f>
        <v>95</v>
      </c>
      <c r="J155" s="6" t="n">
        <f aca="false">Sheet1_Original_Data!J154</f>
        <v>2.33</v>
      </c>
      <c r="K155" s="6" t="n">
        <f aca="false">Sheet1_Original_Data!K154</f>
        <v>1</v>
      </c>
      <c r="L155" s="6" t="n">
        <f aca="false">Sheet1_Original_Data!L154</f>
        <v>3.7</v>
      </c>
      <c r="M155" s="6" t="n">
        <f aca="false">Sheet1_Original_Data!M154</f>
        <v>696744.15</v>
      </c>
      <c r="N155" s="6" t="n">
        <f aca="false">Sheet1_Original_Data!N154</f>
        <v>152230.09</v>
      </c>
      <c r="O155" s="4" t="n">
        <f aca="false">IF(Sheet1_Original_Data!J154="",MEDIAN(Sheet1_Original_Data!$J$4:$J$323),Sheet1_Original_Data!J154)</f>
        <v>2.33</v>
      </c>
      <c r="P155" s="4" t="n">
        <f aca="false">IF(Sheet1_Original_Data!L154="",MEDIAN(Sheet1_Original_Data!$L$4:$L$323),Sheet1_Original_Data!L154)</f>
        <v>3.7</v>
      </c>
    </row>
    <row r="156" customFormat="false" ht="15" hidden="false" customHeight="false" outlineLevel="0" collapsed="false">
      <c r="A156" s="6" t="str">
        <f aca="false">Sheet1_Original_Data!A155</f>
        <v>STR-1038</v>
      </c>
      <c r="B156" s="6" t="str">
        <f aca="false">Sheet1_Original_Data!B155</f>
        <v>2025-04-01</v>
      </c>
      <c r="C156" s="6" t="str">
        <f aca="false">Sheet1_Original_Data!C155</f>
        <v>South</v>
      </c>
      <c r="D156" s="6" t="str">
        <f aca="false">Sheet1_Original_Data!D155</f>
        <v>Mall</v>
      </c>
      <c r="E156" s="6" t="n">
        <f aca="false">Sheet1_Original_Data!E155</f>
        <v>71855.09</v>
      </c>
      <c r="F156" s="6" t="n">
        <f aca="false">Sheet1_Original_Data!F155</f>
        <v>5911</v>
      </c>
      <c r="G156" s="6" t="n">
        <f aca="false">Sheet1_Original_Data!G155</f>
        <v>0.197</v>
      </c>
      <c r="H156" s="6" t="n">
        <f aca="false">Sheet1_Original_Data!H155</f>
        <v>15</v>
      </c>
      <c r="I156" s="6" t="n">
        <f aca="false">Sheet1_Original_Data!I155</f>
        <v>94.3</v>
      </c>
      <c r="J156" s="6" t="n">
        <f aca="false">Sheet1_Original_Data!J155</f>
        <v>3.55</v>
      </c>
      <c r="K156" s="6" t="n">
        <f aca="false">Sheet1_Original_Data!K155</f>
        <v>0</v>
      </c>
      <c r="L156" s="6" t="n">
        <f aca="false">Sheet1_Original_Data!L155</f>
        <v>4.1</v>
      </c>
      <c r="M156" s="6" t="n">
        <f aca="false">Sheet1_Original_Data!M155</f>
        <v>725847.99</v>
      </c>
      <c r="N156" s="6" t="n">
        <f aca="false">Sheet1_Original_Data!N155</f>
        <v>122698.73</v>
      </c>
      <c r="O156" s="4" t="n">
        <f aca="false">IF(Sheet1_Original_Data!J155="",MEDIAN(Sheet1_Original_Data!$J$4:$J$323),Sheet1_Original_Data!J155)</f>
        <v>3.55</v>
      </c>
      <c r="P156" s="4" t="n">
        <f aca="false">IF(Sheet1_Original_Data!L155="",MEDIAN(Sheet1_Original_Data!$L$4:$L$323),Sheet1_Original_Data!L155)</f>
        <v>4.1</v>
      </c>
    </row>
    <row r="157" customFormat="false" ht="15" hidden="false" customHeight="false" outlineLevel="0" collapsed="false">
      <c r="A157" s="6" t="str">
        <f aca="false">Sheet1_Original_Data!A156</f>
        <v>STR-1039</v>
      </c>
      <c r="B157" s="6" t="str">
        <f aca="false">Sheet1_Original_Data!B156</f>
        <v>2025-01-01</v>
      </c>
      <c r="C157" s="6" t="str">
        <f aca="false">Sheet1_Original_Data!C156</f>
        <v>East</v>
      </c>
      <c r="D157" s="6" t="str">
        <f aca="false">Sheet1_Original_Data!D156</f>
        <v>High Street</v>
      </c>
      <c r="E157" s="6" t="n">
        <f aca="false">Sheet1_Original_Data!E156</f>
        <v>75645.23</v>
      </c>
      <c r="F157" s="6" t="n">
        <f aca="false">Sheet1_Original_Data!F156</f>
        <v>9674</v>
      </c>
      <c r="G157" s="6" t="n">
        <f aca="false">Sheet1_Original_Data!G156</f>
        <v>0.234</v>
      </c>
      <c r="H157" s="6" t="n">
        <f aca="false">Sheet1_Original_Data!H156</f>
        <v>21</v>
      </c>
      <c r="I157" s="6" t="n">
        <f aca="false">Sheet1_Original_Data!I156</f>
        <v>87.4</v>
      </c>
      <c r="J157" s="6" t="n">
        <f aca="false">Sheet1_Original_Data!J156</f>
        <v>0.2</v>
      </c>
      <c r="K157" s="6" t="n">
        <f aca="false">Sheet1_Original_Data!K156</f>
        <v>0</v>
      </c>
      <c r="L157" s="6" t="n">
        <f aca="false">Sheet1_Original_Data!L156</f>
        <v>4.5</v>
      </c>
      <c r="M157" s="6" t="n">
        <f aca="false">Sheet1_Original_Data!M156</f>
        <v>785028.25</v>
      </c>
      <c r="N157" s="6" t="n">
        <f aca="false">Sheet1_Original_Data!N156</f>
        <v>110726.44</v>
      </c>
      <c r="O157" s="4" t="n">
        <f aca="false">IF(Sheet1_Original_Data!J156="",MEDIAN(Sheet1_Original_Data!$J$4:$J$323),Sheet1_Original_Data!J156)</f>
        <v>0.2</v>
      </c>
      <c r="P157" s="4" t="n">
        <f aca="false">IF(Sheet1_Original_Data!L156="",MEDIAN(Sheet1_Original_Data!$L$4:$L$323),Sheet1_Original_Data!L156)</f>
        <v>4.5</v>
      </c>
    </row>
    <row r="158" customFormat="false" ht="15" hidden="false" customHeight="false" outlineLevel="0" collapsed="false">
      <c r="A158" s="6" t="str">
        <f aca="false">Sheet1_Original_Data!A157</f>
        <v>STR-1039</v>
      </c>
      <c r="B158" s="6" t="str">
        <f aca="false">Sheet1_Original_Data!B157</f>
        <v>2025-02-01</v>
      </c>
      <c r="C158" s="6" t="str">
        <f aca="false">Sheet1_Original_Data!C157</f>
        <v>East</v>
      </c>
      <c r="D158" s="6" t="str">
        <f aca="false">Sheet1_Original_Data!D157</f>
        <v>High Street</v>
      </c>
      <c r="E158" s="6" t="n">
        <f aca="false">Sheet1_Original_Data!E157</f>
        <v>64374.75</v>
      </c>
      <c r="F158" s="6" t="n">
        <f aca="false">Sheet1_Original_Data!F157</f>
        <v>6740</v>
      </c>
      <c r="G158" s="6" t="n">
        <f aca="false">Sheet1_Original_Data!G157</f>
        <v>0.169</v>
      </c>
      <c r="H158" s="6" t="n">
        <f aca="false">Sheet1_Original_Data!H157</f>
        <v>18</v>
      </c>
      <c r="I158" s="6" t="n">
        <f aca="false">Sheet1_Original_Data!I157</f>
        <v>87</v>
      </c>
      <c r="J158" s="6" t="n">
        <f aca="false">Sheet1_Original_Data!J157</f>
        <v>2.09</v>
      </c>
      <c r="K158" s="6" t="n">
        <f aca="false">Sheet1_Original_Data!K157</f>
        <v>0</v>
      </c>
      <c r="L158" s="6" t="n">
        <f aca="false">Sheet1_Original_Data!L157</f>
        <v>4.2</v>
      </c>
      <c r="M158" s="6" t="n">
        <f aca="false">Sheet1_Original_Data!M157</f>
        <v>698492.67</v>
      </c>
      <c r="N158" s="6" t="n">
        <f aca="false">Sheet1_Original_Data!N157</f>
        <v>117319.32</v>
      </c>
      <c r="O158" s="4" t="n">
        <f aca="false">IF(Sheet1_Original_Data!J157="",MEDIAN(Sheet1_Original_Data!$J$4:$J$323),Sheet1_Original_Data!J157)</f>
        <v>2.09</v>
      </c>
      <c r="P158" s="4" t="n">
        <f aca="false">IF(Sheet1_Original_Data!L157="",MEDIAN(Sheet1_Original_Data!$L$4:$L$323),Sheet1_Original_Data!L157)</f>
        <v>4.2</v>
      </c>
    </row>
    <row r="159" customFormat="false" ht="15" hidden="false" customHeight="false" outlineLevel="0" collapsed="false">
      <c r="A159" s="6" t="str">
        <f aca="false">Sheet1_Original_Data!A158</f>
        <v>STR-1039</v>
      </c>
      <c r="B159" s="6" t="str">
        <f aca="false">Sheet1_Original_Data!B158</f>
        <v>2025-03-01</v>
      </c>
      <c r="C159" s="6" t="str">
        <f aca="false">Sheet1_Original_Data!C158</f>
        <v>East</v>
      </c>
      <c r="D159" s="6" t="str">
        <f aca="false">Sheet1_Original_Data!D158</f>
        <v>High Street</v>
      </c>
      <c r="E159" s="6" t="n">
        <f aca="false">Sheet1_Original_Data!E158</f>
        <v>61433.84</v>
      </c>
      <c r="F159" s="6" t="n">
        <f aca="false">Sheet1_Original_Data!F158</f>
        <v>7745</v>
      </c>
      <c r="G159" s="6" t="n">
        <f aca="false">Sheet1_Original_Data!G158</f>
        <v>0.18</v>
      </c>
      <c r="H159" s="6" t="n">
        <f aca="false">Sheet1_Original_Data!H158</f>
        <v>16</v>
      </c>
      <c r="I159" s="6" t="n">
        <f aca="false">Sheet1_Original_Data!I158</f>
        <v>90.5</v>
      </c>
      <c r="J159" s="6" t="n">
        <f aca="false">Sheet1_Original_Data!J158</f>
        <v>2.26</v>
      </c>
      <c r="K159" s="6" t="n">
        <f aca="false">Sheet1_Original_Data!K158</f>
        <v>0</v>
      </c>
      <c r="L159" s="6" t="n">
        <f aca="false">Sheet1_Original_Data!L158</f>
        <v>4.2</v>
      </c>
      <c r="M159" s="6" t="n">
        <f aca="false">Sheet1_Original_Data!M158</f>
        <v>685830.24</v>
      </c>
      <c r="N159" s="6" t="n">
        <f aca="false">Sheet1_Original_Data!N158</f>
        <v>128736.18</v>
      </c>
      <c r="O159" s="4" t="n">
        <f aca="false">IF(Sheet1_Original_Data!J158="",MEDIAN(Sheet1_Original_Data!$J$4:$J$323),Sheet1_Original_Data!J158)</f>
        <v>2.26</v>
      </c>
      <c r="P159" s="4" t="n">
        <f aca="false">IF(Sheet1_Original_Data!L158="",MEDIAN(Sheet1_Original_Data!$L$4:$L$323),Sheet1_Original_Data!L158)</f>
        <v>4.2</v>
      </c>
    </row>
    <row r="160" customFormat="false" ht="15" hidden="false" customHeight="false" outlineLevel="0" collapsed="false">
      <c r="A160" s="6" t="str">
        <f aca="false">Sheet1_Original_Data!A159</f>
        <v>STR-1039</v>
      </c>
      <c r="B160" s="6" t="str">
        <f aca="false">Sheet1_Original_Data!B159</f>
        <v>2025-04-01</v>
      </c>
      <c r="C160" s="6" t="str">
        <f aca="false">Sheet1_Original_Data!C159</f>
        <v>East</v>
      </c>
      <c r="D160" s="6" t="str">
        <f aca="false">Sheet1_Original_Data!D159</f>
        <v>High Street</v>
      </c>
      <c r="E160" s="6" t="n">
        <f aca="false">Sheet1_Original_Data!E159</f>
        <v>42698.14</v>
      </c>
      <c r="F160" s="6" t="n">
        <f aca="false">Sheet1_Original_Data!F159</f>
        <v>7693</v>
      </c>
      <c r="G160" s="6" t="n">
        <f aca="false">Sheet1_Original_Data!G159</f>
        <v>0.187</v>
      </c>
      <c r="H160" s="6" t="n">
        <f aca="false">Sheet1_Original_Data!H159</f>
        <v>19</v>
      </c>
      <c r="I160" s="6" t="n">
        <f aca="false">Sheet1_Original_Data!I159</f>
        <v>90.1</v>
      </c>
      <c r="J160" s="6" t="n">
        <f aca="false">Sheet1_Original_Data!J159</f>
        <v>0.44</v>
      </c>
      <c r="K160" s="6" t="n">
        <f aca="false">Sheet1_Original_Data!K159</f>
        <v>0</v>
      </c>
      <c r="L160" s="6" t="n">
        <f aca="false">Sheet1_Original_Data!L159</f>
        <v>4.4</v>
      </c>
      <c r="M160" s="6" t="n">
        <f aca="false">Sheet1_Original_Data!M159</f>
        <v>702318.94</v>
      </c>
      <c r="N160" s="6" t="n">
        <f aca="false">Sheet1_Original_Data!N159</f>
        <v>112829.29</v>
      </c>
      <c r="O160" s="4" t="n">
        <f aca="false">IF(Sheet1_Original_Data!J159="",MEDIAN(Sheet1_Original_Data!$J$4:$J$323),Sheet1_Original_Data!J159)</f>
        <v>0.44</v>
      </c>
      <c r="P160" s="4" t="n">
        <f aca="false">IF(Sheet1_Original_Data!L159="",MEDIAN(Sheet1_Original_Data!$L$4:$L$323),Sheet1_Original_Data!L159)</f>
        <v>4.4</v>
      </c>
    </row>
    <row r="161" customFormat="false" ht="15" hidden="false" customHeight="false" outlineLevel="0" collapsed="false">
      <c r="A161" s="6" t="str">
        <f aca="false">Sheet1_Original_Data!A160</f>
        <v>STR-1040</v>
      </c>
      <c r="B161" s="6" t="str">
        <f aca="false">Sheet1_Original_Data!B160</f>
        <v>2025-01-01</v>
      </c>
      <c r="C161" s="6" t="str">
        <f aca="false">Sheet1_Original_Data!C160</f>
        <v>North</v>
      </c>
      <c r="D161" s="6" t="str">
        <f aca="false">Sheet1_Original_Data!D160</f>
        <v>Mall</v>
      </c>
      <c r="E161" s="6" t="n">
        <f aca="false">Sheet1_Original_Data!E160</f>
        <v>86883.31</v>
      </c>
      <c r="F161" s="6" t="n">
        <f aca="false">Sheet1_Original_Data!F160</f>
        <v>6424</v>
      </c>
      <c r="G161" s="6" t="n">
        <f aca="false">Sheet1_Original_Data!G160</f>
        <v>0.057</v>
      </c>
      <c r="H161" s="6" t="n">
        <f aca="false">Sheet1_Original_Data!H160</f>
        <v>19</v>
      </c>
      <c r="I161" s="6" t="n">
        <f aca="false">Sheet1_Original_Data!I160</f>
        <v>85.2</v>
      </c>
      <c r="J161" s="6" t="n">
        <f aca="false">Sheet1_Original_Data!J160</f>
        <v>3.08</v>
      </c>
      <c r="K161" s="6" t="n">
        <f aca="false">Sheet1_Original_Data!K160</f>
        <v>0</v>
      </c>
      <c r="L161" s="6" t="n">
        <f aca="false">Sheet1_Original_Data!L160</f>
        <v>3.9</v>
      </c>
      <c r="M161" s="6" t="n">
        <f aca="false">Sheet1_Original_Data!M160</f>
        <v>700078.32</v>
      </c>
      <c r="N161" s="6" t="n">
        <f aca="false">Sheet1_Original_Data!N160</f>
        <v>123707.58</v>
      </c>
      <c r="O161" s="4" t="n">
        <f aca="false">IF(Sheet1_Original_Data!J160="",MEDIAN(Sheet1_Original_Data!$J$4:$J$323),Sheet1_Original_Data!J160)</f>
        <v>3.08</v>
      </c>
      <c r="P161" s="4" t="n">
        <f aca="false">IF(Sheet1_Original_Data!L160="",MEDIAN(Sheet1_Original_Data!$L$4:$L$323),Sheet1_Original_Data!L160)</f>
        <v>3.9</v>
      </c>
    </row>
    <row r="162" customFormat="false" ht="15" hidden="false" customHeight="false" outlineLevel="0" collapsed="false">
      <c r="A162" s="6" t="str">
        <f aca="false">Sheet1_Original_Data!A161</f>
        <v>STR-1040</v>
      </c>
      <c r="B162" s="6" t="str">
        <f aca="false">Sheet1_Original_Data!B161</f>
        <v>2025-02-01</v>
      </c>
      <c r="C162" s="6" t="str">
        <f aca="false">Sheet1_Original_Data!C161</f>
        <v>North</v>
      </c>
      <c r="D162" s="6" t="str">
        <f aca="false">Sheet1_Original_Data!D161</f>
        <v>Mall</v>
      </c>
      <c r="E162" s="6" t="n">
        <f aca="false">Sheet1_Original_Data!E161</f>
        <v>41863.08</v>
      </c>
      <c r="F162" s="6" t="n">
        <f aca="false">Sheet1_Original_Data!F161</f>
        <v>5400</v>
      </c>
      <c r="G162" s="6" t="n">
        <f aca="false">Sheet1_Original_Data!G161</f>
        <v>0.114</v>
      </c>
      <c r="H162" s="6" t="n">
        <f aca="false">Sheet1_Original_Data!H161</f>
        <v>11</v>
      </c>
      <c r="I162" s="6" t="n">
        <f aca="false">Sheet1_Original_Data!I161</f>
        <v>91.6</v>
      </c>
      <c r="J162" s="6" t="n">
        <f aca="false">Sheet1_Original_Data!J161</f>
        <v>7.99</v>
      </c>
      <c r="K162" s="6" t="n">
        <f aca="false">Sheet1_Original_Data!K161</f>
        <v>0</v>
      </c>
      <c r="L162" s="6" t="n">
        <f aca="false">Sheet1_Original_Data!L161</f>
        <v>3</v>
      </c>
      <c r="M162" s="6" t="n">
        <f aca="false">Sheet1_Original_Data!M161</f>
        <v>602002.32</v>
      </c>
      <c r="N162" s="6" t="n">
        <f aca="false">Sheet1_Original_Data!N161</f>
        <v>110453.28</v>
      </c>
      <c r="O162" s="4" t="n">
        <f aca="false">IF(Sheet1_Original_Data!J161="",MEDIAN(Sheet1_Original_Data!$J$4:$J$323),Sheet1_Original_Data!J161)</f>
        <v>7.99</v>
      </c>
      <c r="P162" s="4" t="n">
        <f aca="false">IF(Sheet1_Original_Data!L161="",MEDIAN(Sheet1_Original_Data!$L$4:$L$323),Sheet1_Original_Data!L161)</f>
        <v>3</v>
      </c>
    </row>
    <row r="163" customFormat="false" ht="15" hidden="false" customHeight="false" outlineLevel="0" collapsed="false">
      <c r="A163" s="6" t="str">
        <f aca="false">Sheet1_Original_Data!A162</f>
        <v>STR-1040</v>
      </c>
      <c r="B163" s="6" t="str">
        <f aca="false">Sheet1_Original_Data!B162</f>
        <v>2025-03-01</v>
      </c>
      <c r="C163" s="6" t="str">
        <f aca="false">Sheet1_Original_Data!C162</f>
        <v>North</v>
      </c>
      <c r="D163" s="6" t="str">
        <f aca="false">Sheet1_Original_Data!D162</f>
        <v>Mall</v>
      </c>
      <c r="E163" s="6" t="n">
        <f aca="false">Sheet1_Original_Data!E162</f>
        <v>56918.16</v>
      </c>
      <c r="F163" s="6" t="n">
        <f aca="false">Sheet1_Original_Data!F162</f>
        <v>7015</v>
      </c>
      <c r="G163" s="6" t="n">
        <f aca="false">Sheet1_Original_Data!G162</f>
        <v>0.158</v>
      </c>
      <c r="H163" s="6" t="n">
        <f aca="false">Sheet1_Original_Data!H162</f>
        <v>18</v>
      </c>
      <c r="I163" s="6" t="n">
        <f aca="false">Sheet1_Original_Data!I162</f>
        <v>74.2</v>
      </c>
      <c r="J163" s="6" t="n">
        <f aca="false">Sheet1_Original_Data!J162</f>
        <v>0.2</v>
      </c>
      <c r="K163" s="6" t="n">
        <f aca="false">Sheet1_Original_Data!K162</f>
        <v>0</v>
      </c>
      <c r="L163" s="6" t="n">
        <f aca="false">Sheet1_Original_Data!L162</f>
        <v>3.4</v>
      </c>
      <c r="M163" s="6" t="n">
        <f aca="false">Sheet1_Original_Data!M162</f>
        <v>724216.07</v>
      </c>
      <c r="N163" s="6" t="n">
        <f aca="false">Sheet1_Original_Data!N162</f>
        <v>100627.56</v>
      </c>
      <c r="O163" s="4" t="n">
        <f aca="false">IF(Sheet1_Original_Data!J162="",MEDIAN(Sheet1_Original_Data!$J$4:$J$323),Sheet1_Original_Data!J162)</f>
        <v>0.2</v>
      </c>
      <c r="P163" s="4" t="n">
        <f aca="false">IF(Sheet1_Original_Data!L162="",MEDIAN(Sheet1_Original_Data!$L$4:$L$323),Sheet1_Original_Data!L162)</f>
        <v>3.4</v>
      </c>
    </row>
    <row r="164" customFormat="false" ht="15" hidden="false" customHeight="false" outlineLevel="0" collapsed="false">
      <c r="A164" s="6" t="str">
        <f aca="false">Sheet1_Original_Data!A163</f>
        <v>STR-1040</v>
      </c>
      <c r="B164" s="6" t="str">
        <f aca="false">Sheet1_Original_Data!B163</f>
        <v>2025-04-01</v>
      </c>
      <c r="C164" s="6" t="str">
        <f aca="false">Sheet1_Original_Data!C163</f>
        <v>North</v>
      </c>
      <c r="D164" s="6" t="str">
        <f aca="false">Sheet1_Original_Data!D163</f>
        <v>Mall</v>
      </c>
      <c r="E164" s="6" t="n">
        <f aca="false">Sheet1_Original_Data!E163</f>
        <v>23254.57</v>
      </c>
      <c r="F164" s="6" t="n">
        <f aca="false">Sheet1_Original_Data!F163</f>
        <v>3847</v>
      </c>
      <c r="G164" s="6" t="n">
        <f aca="false">Sheet1_Original_Data!G163</f>
        <v>0.159</v>
      </c>
      <c r="H164" s="6" t="n">
        <f aca="false">Sheet1_Original_Data!H163</f>
        <v>12</v>
      </c>
      <c r="I164" s="6" t="n">
        <f aca="false">Sheet1_Original_Data!I163</f>
        <v>93</v>
      </c>
      <c r="J164" s="6" t="n">
        <f aca="false">Sheet1_Original_Data!J163</f>
        <v>5.46</v>
      </c>
      <c r="K164" s="6" t="n">
        <f aca="false">Sheet1_Original_Data!K163</f>
        <v>0</v>
      </c>
      <c r="L164" s="6" t="n">
        <f aca="false">Sheet1_Original_Data!L163</f>
        <v>3.3</v>
      </c>
      <c r="M164" s="6" t="n">
        <f aca="false">Sheet1_Original_Data!M163</f>
        <v>620973.03</v>
      </c>
      <c r="N164" s="6" t="n">
        <f aca="false">Sheet1_Original_Data!N163</f>
        <v>72303.85</v>
      </c>
      <c r="O164" s="4" t="n">
        <f aca="false">IF(Sheet1_Original_Data!J163="",MEDIAN(Sheet1_Original_Data!$J$4:$J$323),Sheet1_Original_Data!J163)</f>
        <v>5.46</v>
      </c>
      <c r="P164" s="4" t="n">
        <f aca="false">IF(Sheet1_Original_Data!L163="",MEDIAN(Sheet1_Original_Data!$L$4:$L$323),Sheet1_Original_Data!L163)</f>
        <v>3.3</v>
      </c>
    </row>
    <row r="165" customFormat="false" ht="15" hidden="false" customHeight="false" outlineLevel="0" collapsed="false">
      <c r="A165" s="6" t="str">
        <f aca="false">Sheet1_Original_Data!A164</f>
        <v>STR-1041</v>
      </c>
      <c r="B165" s="6" t="str">
        <f aca="false">Sheet1_Original_Data!B164</f>
        <v>2025-01-01</v>
      </c>
      <c r="C165" s="6" t="str">
        <f aca="false">Sheet1_Original_Data!C164</f>
        <v>South</v>
      </c>
      <c r="D165" s="6" t="str">
        <f aca="false">Sheet1_Original_Data!D164</f>
        <v>High Street</v>
      </c>
      <c r="E165" s="6" t="n">
        <f aca="false">Sheet1_Original_Data!E164</f>
        <v>41443.41</v>
      </c>
      <c r="F165" s="6" t="n">
        <f aca="false">Sheet1_Original_Data!F164</f>
        <v>7455</v>
      </c>
      <c r="G165" s="6" t="n">
        <f aca="false">Sheet1_Original_Data!G164</f>
        <v>0.175</v>
      </c>
      <c r="H165" s="6" t="n">
        <f aca="false">Sheet1_Original_Data!H164</f>
        <v>16</v>
      </c>
      <c r="I165" s="6" t="n">
        <f aca="false">Sheet1_Original_Data!I164</f>
        <v>90.1</v>
      </c>
      <c r="J165" s="6" t="n">
        <f aca="false">Sheet1_Original_Data!J164</f>
        <v>4.05</v>
      </c>
      <c r="K165" s="6" t="n">
        <f aca="false">Sheet1_Original_Data!K164</f>
        <v>0</v>
      </c>
      <c r="L165" s="6" t="n">
        <f aca="false">Sheet1_Original_Data!L164</f>
        <v>4</v>
      </c>
      <c r="M165" s="6" t="n">
        <f aca="false">Sheet1_Original_Data!M164</f>
        <v>650480.06</v>
      </c>
      <c r="N165" s="6" t="n">
        <f aca="false">Sheet1_Original_Data!N164</f>
        <v>109012.07</v>
      </c>
      <c r="O165" s="4" t="n">
        <f aca="false">IF(Sheet1_Original_Data!J164="",MEDIAN(Sheet1_Original_Data!$J$4:$J$323),Sheet1_Original_Data!J164)</f>
        <v>4.05</v>
      </c>
      <c r="P165" s="4" t="n">
        <f aca="false">IF(Sheet1_Original_Data!L164="",MEDIAN(Sheet1_Original_Data!$L$4:$L$323),Sheet1_Original_Data!L164)</f>
        <v>4</v>
      </c>
    </row>
    <row r="166" customFormat="false" ht="15" hidden="false" customHeight="false" outlineLevel="0" collapsed="false">
      <c r="A166" s="6" t="str">
        <f aca="false">Sheet1_Original_Data!A165</f>
        <v>STR-1041</v>
      </c>
      <c r="B166" s="6" t="str">
        <f aca="false">Sheet1_Original_Data!B165</f>
        <v>2025-02-01</v>
      </c>
      <c r="C166" s="6" t="str">
        <f aca="false">Sheet1_Original_Data!C165</f>
        <v>South</v>
      </c>
      <c r="D166" s="6" t="str">
        <f aca="false">Sheet1_Original_Data!D165</f>
        <v>High Street</v>
      </c>
      <c r="E166" s="6" t="n">
        <f aca="false">Sheet1_Original_Data!E165</f>
        <v>48438.85</v>
      </c>
      <c r="F166" s="6" t="n">
        <f aca="false">Sheet1_Original_Data!F165</f>
        <v>6992</v>
      </c>
      <c r="G166" s="6" t="n">
        <f aca="false">Sheet1_Original_Data!G165</f>
        <v>0.034</v>
      </c>
      <c r="H166" s="6" t="n">
        <f aca="false">Sheet1_Original_Data!H165</f>
        <v>20</v>
      </c>
      <c r="I166" s="6" t="n">
        <f aca="false">Sheet1_Original_Data!I165</f>
        <v>91</v>
      </c>
      <c r="J166" s="6" t="n">
        <f aca="false">Sheet1_Original_Data!J165</f>
        <v>4.36</v>
      </c>
      <c r="K166" s="6" t="n">
        <f aca="false">Sheet1_Original_Data!K165</f>
        <v>0</v>
      </c>
      <c r="L166" s="6" t="n">
        <f aca="false">Sheet1_Original_Data!L165</f>
        <v>4.2</v>
      </c>
      <c r="M166" s="6" t="n">
        <f aca="false">Sheet1_Original_Data!M165</f>
        <v>778298.88</v>
      </c>
      <c r="N166" s="6" t="n">
        <f aca="false">Sheet1_Original_Data!N165</f>
        <v>130076.72</v>
      </c>
      <c r="O166" s="4" t="n">
        <f aca="false">IF(Sheet1_Original_Data!J165="",MEDIAN(Sheet1_Original_Data!$J$4:$J$323),Sheet1_Original_Data!J165)</f>
        <v>4.36</v>
      </c>
      <c r="P166" s="4" t="n">
        <f aca="false">IF(Sheet1_Original_Data!L165="",MEDIAN(Sheet1_Original_Data!$L$4:$L$323),Sheet1_Original_Data!L165)</f>
        <v>4.2</v>
      </c>
    </row>
    <row r="167" customFormat="false" ht="15" hidden="false" customHeight="false" outlineLevel="0" collapsed="false">
      <c r="A167" s="6" t="str">
        <f aca="false">Sheet1_Original_Data!A166</f>
        <v>STR-1041</v>
      </c>
      <c r="B167" s="6" t="str">
        <f aca="false">Sheet1_Original_Data!B166</f>
        <v>2025-03-01</v>
      </c>
      <c r="C167" s="6" t="str">
        <f aca="false">Sheet1_Original_Data!C166</f>
        <v>South</v>
      </c>
      <c r="D167" s="6" t="str">
        <f aca="false">Sheet1_Original_Data!D166</f>
        <v>High Street</v>
      </c>
      <c r="E167" s="6" t="n">
        <f aca="false">Sheet1_Original_Data!E166</f>
        <v>57143.3</v>
      </c>
      <c r="F167" s="6" t="n">
        <f aca="false">Sheet1_Original_Data!F166</f>
        <v>8038</v>
      </c>
      <c r="G167" s="6" t="n">
        <f aca="false">Sheet1_Original_Data!G166</f>
        <v>0.193</v>
      </c>
      <c r="H167" s="6" t="n">
        <f aca="false">Sheet1_Original_Data!H166</f>
        <v>17</v>
      </c>
      <c r="I167" s="6" t="n">
        <f aca="false">Sheet1_Original_Data!I166</f>
        <v>72.6</v>
      </c>
      <c r="J167" s="6" t="n">
        <f aca="false">Sheet1_Original_Data!J166</f>
        <v>0</v>
      </c>
      <c r="K167" s="6" t="n">
        <f aca="false">Sheet1_Original_Data!K166</f>
        <v>0</v>
      </c>
      <c r="L167" s="6" t="n">
        <f aca="false">Sheet1_Original_Data!L166</f>
        <v>4.2</v>
      </c>
      <c r="M167" s="6" t="n">
        <f aca="false">Sheet1_Original_Data!M166</f>
        <v>677096.71</v>
      </c>
      <c r="N167" s="6" t="n">
        <f aca="false">Sheet1_Original_Data!N166</f>
        <v>97174.11</v>
      </c>
      <c r="O167" s="4" t="n">
        <f aca="false">IF(Sheet1_Original_Data!J166="",MEDIAN(Sheet1_Original_Data!$J$4:$J$323),Sheet1_Original_Data!J166)</f>
        <v>3.365</v>
      </c>
      <c r="P167" s="4" t="n">
        <f aca="false">IF(Sheet1_Original_Data!L166="",MEDIAN(Sheet1_Original_Data!$L$4:$L$323),Sheet1_Original_Data!L166)</f>
        <v>4.2</v>
      </c>
    </row>
    <row r="168" customFormat="false" ht="15" hidden="false" customHeight="false" outlineLevel="0" collapsed="false">
      <c r="A168" s="6" t="str">
        <f aca="false">Sheet1_Original_Data!A167</f>
        <v>STR-1041</v>
      </c>
      <c r="B168" s="6" t="str">
        <f aca="false">Sheet1_Original_Data!B167</f>
        <v>2025-04-01</v>
      </c>
      <c r="C168" s="6" t="str">
        <f aca="false">Sheet1_Original_Data!C167</f>
        <v>South</v>
      </c>
      <c r="D168" s="6" t="str">
        <f aca="false">Sheet1_Original_Data!D167</f>
        <v>High Street</v>
      </c>
      <c r="E168" s="6" t="n">
        <f aca="false">Sheet1_Original_Data!E167</f>
        <v>66870.62</v>
      </c>
      <c r="F168" s="6" t="n">
        <f aca="false">Sheet1_Original_Data!F167</f>
        <v>6055</v>
      </c>
      <c r="G168" s="6" t="n">
        <f aca="false">Sheet1_Original_Data!G167</f>
        <v>0.075</v>
      </c>
      <c r="H168" s="6" t="n">
        <f aca="false">Sheet1_Original_Data!H167</f>
        <v>19</v>
      </c>
      <c r="I168" s="6" t="n">
        <f aca="false">Sheet1_Original_Data!I167</f>
        <v>93.8</v>
      </c>
      <c r="J168" s="6" t="n">
        <f aca="false">Sheet1_Original_Data!J167</f>
        <v>0.54</v>
      </c>
      <c r="K168" s="6" t="n">
        <f aca="false">Sheet1_Original_Data!K167</f>
        <v>0</v>
      </c>
      <c r="L168" s="6" t="n">
        <f aca="false">Sheet1_Original_Data!L167</f>
        <v>4.3</v>
      </c>
      <c r="M168" s="6" t="n">
        <f aca="false">Sheet1_Original_Data!M167</f>
        <v>692008.64</v>
      </c>
      <c r="N168" s="6" t="n">
        <f aca="false">Sheet1_Original_Data!N167</f>
        <v>116337.87</v>
      </c>
      <c r="O168" s="4" t="n">
        <f aca="false">IF(Sheet1_Original_Data!J167="",MEDIAN(Sheet1_Original_Data!$J$4:$J$323),Sheet1_Original_Data!J167)</f>
        <v>0.54</v>
      </c>
      <c r="P168" s="4" t="n">
        <f aca="false">IF(Sheet1_Original_Data!L167="",MEDIAN(Sheet1_Original_Data!$L$4:$L$323),Sheet1_Original_Data!L167)</f>
        <v>4.3</v>
      </c>
    </row>
    <row r="169" customFormat="false" ht="15" hidden="false" customHeight="false" outlineLevel="0" collapsed="false">
      <c r="A169" s="6" t="str">
        <f aca="false">Sheet1_Original_Data!A168</f>
        <v>STR-1042</v>
      </c>
      <c r="B169" s="6" t="str">
        <f aca="false">Sheet1_Original_Data!B168</f>
        <v>2025-01-01</v>
      </c>
      <c r="C169" s="6" t="str">
        <f aca="false">Sheet1_Original_Data!C168</f>
        <v>North</v>
      </c>
      <c r="D169" s="6" t="str">
        <f aca="false">Sheet1_Original_Data!D168</f>
        <v>Mall</v>
      </c>
      <c r="E169" s="6" t="n">
        <f aca="false">Sheet1_Original_Data!E168</f>
        <v>72150.53</v>
      </c>
      <c r="F169" s="6" t="n">
        <f aca="false">Sheet1_Original_Data!F168</f>
        <v>9323</v>
      </c>
      <c r="G169" s="6" t="n">
        <f aca="false">Sheet1_Original_Data!G168</f>
        <v>0.157</v>
      </c>
      <c r="H169" s="6" t="n">
        <f aca="false">Sheet1_Original_Data!H168</f>
        <v>22</v>
      </c>
      <c r="I169" s="6" t="n">
        <f aca="false">Sheet1_Original_Data!I168</f>
        <v>82.9</v>
      </c>
      <c r="J169" s="6" t="n">
        <f aca="false">Sheet1_Original_Data!J168</f>
        <v>11.37</v>
      </c>
      <c r="K169" s="6" t="n">
        <f aca="false">Sheet1_Original_Data!K168</f>
        <v>1</v>
      </c>
      <c r="L169" s="6" t="n">
        <f aca="false">Sheet1_Original_Data!L168</f>
        <v>4.3</v>
      </c>
      <c r="M169" s="6" t="n">
        <f aca="false">Sheet1_Original_Data!M168</f>
        <v>825797.91</v>
      </c>
      <c r="N169" s="6" t="n">
        <f aca="false">Sheet1_Original_Data!N168</f>
        <v>130945.24</v>
      </c>
      <c r="O169" s="4" t="n">
        <f aca="false">IF(Sheet1_Original_Data!J168="",MEDIAN(Sheet1_Original_Data!$J$4:$J$323),Sheet1_Original_Data!J168)</f>
        <v>11.37</v>
      </c>
      <c r="P169" s="4" t="n">
        <f aca="false">IF(Sheet1_Original_Data!L168="",MEDIAN(Sheet1_Original_Data!$L$4:$L$323),Sheet1_Original_Data!L168)</f>
        <v>4.3</v>
      </c>
    </row>
    <row r="170" customFormat="false" ht="15" hidden="false" customHeight="false" outlineLevel="0" collapsed="false">
      <c r="A170" s="6" t="str">
        <f aca="false">Sheet1_Original_Data!A169</f>
        <v>STR-1042</v>
      </c>
      <c r="B170" s="6" t="str">
        <f aca="false">Sheet1_Original_Data!B169</f>
        <v>2025-02-01</v>
      </c>
      <c r="C170" s="6" t="str">
        <f aca="false">Sheet1_Original_Data!C169</f>
        <v>North</v>
      </c>
      <c r="D170" s="6" t="str">
        <f aca="false">Sheet1_Original_Data!D169</f>
        <v>Mall</v>
      </c>
      <c r="E170" s="6" t="n">
        <f aca="false">Sheet1_Original_Data!E169</f>
        <v>35303.3</v>
      </c>
      <c r="F170" s="6" t="n">
        <f aca="false">Sheet1_Original_Data!F169</f>
        <v>8789</v>
      </c>
      <c r="G170" s="6" t="n">
        <f aca="false">Sheet1_Original_Data!G169</f>
        <v>0.123</v>
      </c>
      <c r="H170" s="6" t="n">
        <f aca="false">Sheet1_Original_Data!H169</f>
        <v>22</v>
      </c>
      <c r="I170" s="6" t="n">
        <f aca="false">Sheet1_Original_Data!I169</f>
        <v>86.1</v>
      </c>
      <c r="J170" s="6" t="n">
        <f aca="false">Sheet1_Original_Data!J169</f>
        <v>9.43</v>
      </c>
      <c r="K170" s="6" t="n">
        <f aca="false">Sheet1_Original_Data!K169</f>
        <v>0</v>
      </c>
      <c r="L170" s="6" t="n">
        <f aca="false">Sheet1_Original_Data!L169</f>
        <v>4.2</v>
      </c>
      <c r="M170" s="6" t="n">
        <f aca="false">Sheet1_Original_Data!M169</f>
        <v>706285.52</v>
      </c>
      <c r="N170" s="6" t="n">
        <f aca="false">Sheet1_Original_Data!N169</f>
        <v>138014.72</v>
      </c>
      <c r="O170" s="4" t="n">
        <f aca="false">IF(Sheet1_Original_Data!J169="",MEDIAN(Sheet1_Original_Data!$J$4:$J$323),Sheet1_Original_Data!J169)</f>
        <v>9.43</v>
      </c>
      <c r="P170" s="4" t="n">
        <f aca="false">IF(Sheet1_Original_Data!L169="",MEDIAN(Sheet1_Original_Data!$L$4:$L$323),Sheet1_Original_Data!L169)</f>
        <v>4.2</v>
      </c>
    </row>
    <row r="171" customFormat="false" ht="15" hidden="false" customHeight="false" outlineLevel="0" collapsed="false">
      <c r="A171" s="6" t="str">
        <f aca="false">Sheet1_Original_Data!A170</f>
        <v>STR-1042</v>
      </c>
      <c r="B171" s="6" t="str">
        <f aca="false">Sheet1_Original_Data!B170</f>
        <v>2025-03-01</v>
      </c>
      <c r="C171" s="6" t="str">
        <f aca="false">Sheet1_Original_Data!C170</f>
        <v>North</v>
      </c>
      <c r="D171" s="6" t="str">
        <f aca="false">Sheet1_Original_Data!D170</f>
        <v>Mall</v>
      </c>
      <c r="E171" s="6" t="n">
        <f aca="false">Sheet1_Original_Data!E170</f>
        <v>30301.86</v>
      </c>
      <c r="F171" s="6" t="n">
        <f aca="false">Sheet1_Original_Data!F170</f>
        <v>6939</v>
      </c>
      <c r="G171" s="6" t="n">
        <f aca="false">Sheet1_Original_Data!G170</f>
        <v>0.09</v>
      </c>
      <c r="H171" s="6" t="n">
        <f aca="false">Sheet1_Original_Data!H170</f>
        <v>16</v>
      </c>
      <c r="I171" s="6" t="n">
        <f aca="false">Sheet1_Original_Data!I170</f>
        <v>90.3</v>
      </c>
      <c r="J171" s="6" t="n">
        <f aca="false">Sheet1_Original_Data!J170</f>
        <v>3.49</v>
      </c>
      <c r="K171" s="6" t="n">
        <f aca="false">Sheet1_Original_Data!K170</f>
        <v>0</v>
      </c>
      <c r="L171" s="6" t="n">
        <f aca="false">Sheet1_Original_Data!L170</f>
        <v>4</v>
      </c>
      <c r="M171" s="6" t="n">
        <f aca="false">Sheet1_Original_Data!M170</f>
        <v>665534.7</v>
      </c>
      <c r="N171" s="6" t="n">
        <f aca="false">Sheet1_Original_Data!N170</f>
        <v>113167.73</v>
      </c>
      <c r="O171" s="4" t="n">
        <f aca="false">IF(Sheet1_Original_Data!J170="",MEDIAN(Sheet1_Original_Data!$J$4:$J$323),Sheet1_Original_Data!J170)</f>
        <v>3.49</v>
      </c>
      <c r="P171" s="4" t="n">
        <f aca="false">IF(Sheet1_Original_Data!L170="",MEDIAN(Sheet1_Original_Data!$L$4:$L$323),Sheet1_Original_Data!L170)</f>
        <v>4</v>
      </c>
    </row>
    <row r="172" customFormat="false" ht="15" hidden="false" customHeight="false" outlineLevel="0" collapsed="false">
      <c r="A172" s="6" t="str">
        <f aca="false">Sheet1_Original_Data!A171</f>
        <v>STR-1042</v>
      </c>
      <c r="B172" s="6" t="str">
        <f aca="false">Sheet1_Original_Data!B171</f>
        <v>2025-04-01</v>
      </c>
      <c r="C172" s="6" t="str">
        <f aca="false">Sheet1_Original_Data!C171</f>
        <v>North</v>
      </c>
      <c r="D172" s="6" t="str">
        <f aca="false">Sheet1_Original_Data!D171</f>
        <v>Mall</v>
      </c>
      <c r="E172" s="6" t="n">
        <f aca="false">Sheet1_Original_Data!E171</f>
        <v>78432.14</v>
      </c>
      <c r="F172" s="6" t="n">
        <f aca="false">Sheet1_Original_Data!F171</f>
        <v>9440</v>
      </c>
      <c r="G172" s="6" t="n">
        <f aca="false">Sheet1_Original_Data!G171</f>
        <v>0.126</v>
      </c>
      <c r="H172" s="6" t="n">
        <f aca="false">Sheet1_Original_Data!H171</f>
        <v>23</v>
      </c>
      <c r="I172" s="6" t="n">
        <f aca="false">Sheet1_Original_Data!I171</f>
        <v>89.2</v>
      </c>
      <c r="J172" s="6" t="n">
        <f aca="false">Sheet1_Original_Data!J171</f>
        <v>7.86</v>
      </c>
      <c r="K172" s="6" t="n">
        <f aca="false">Sheet1_Original_Data!K171</f>
        <v>0</v>
      </c>
      <c r="L172" s="6" t="n">
        <f aca="false">Sheet1_Original_Data!L171</f>
        <v>4.1</v>
      </c>
      <c r="M172" s="6" t="n">
        <f aca="false">Sheet1_Original_Data!M171</f>
        <v>820729.29</v>
      </c>
      <c r="N172" s="6" t="n">
        <f aca="false">Sheet1_Original_Data!N171</f>
        <v>159325.47</v>
      </c>
      <c r="O172" s="4" t="n">
        <f aca="false">IF(Sheet1_Original_Data!J171="",MEDIAN(Sheet1_Original_Data!$J$4:$J$323),Sheet1_Original_Data!J171)</f>
        <v>7.86</v>
      </c>
      <c r="P172" s="4" t="n">
        <f aca="false">IF(Sheet1_Original_Data!L171="",MEDIAN(Sheet1_Original_Data!$L$4:$L$323),Sheet1_Original_Data!L171)</f>
        <v>4.1</v>
      </c>
    </row>
    <row r="173" customFormat="false" ht="15" hidden="false" customHeight="false" outlineLevel="0" collapsed="false">
      <c r="A173" s="6" t="str">
        <f aca="false">Sheet1_Original_Data!A172</f>
        <v>STR-1043</v>
      </c>
      <c r="B173" s="6" t="str">
        <f aca="false">Sheet1_Original_Data!B172</f>
        <v>2025-01-01</v>
      </c>
      <c r="C173" s="6" t="str">
        <f aca="false">Sheet1_Original_Data!C172</f>
        <v>East</v>
      </c>
      <c r="D173" s="6" t="str">
        <f aca="false">Sheet1_Original_Data!D172</f>
        <v>Residential</v>
      </c>
      <c r="E173" s="6" t="n">
        <f aca="false">Sheet1_Original_Data!E172</f>
        <v>62059.18</v>
      </c>
      <c r="F173" s="6" t="n">
        <f aca="false">Sheet1_Original_Data!F172</f>
        <v>9374</v>
      </c>
      <c r="G173" s="6" t="n">
        <f aca="false">Sheet1_Original_Data!G172</f>
        <v>0.136</v>
      </c>
      <c r="H173" s="6" t="n">
        <f aca="false">Sheet1_Original_Data!H172</f>
        <v>25</v>
      </c>
      <c r="I173" s="6" t="n">
        <f aca="false">Sheet1_Original_Data!I172</f>
        <v>87.1</v>
      </c>
      <c r="J173" s="6" t="n">
        <f aca="false">Sheet1_Original_Data!J172</f>
        <v>12.55</v>
      </c>
      <c r="K173" s="6" t="n">
        <f aca="false">Sheet1_Original_Data!K172</f>
        <v>0</v>
      </c>
      <c r="L173" s="6" t="n">
        <f aca="false">Sheet1_Original_Data!L172</f>
        <v>4.9</v>
      </c>
      <c r="M173" s="6" t="n">
        <f aca="false">Sheet1_Original_Data!M172</f>
        <v>739831.73</v>
      </c>
      <c r="N173" s="6" t="n">
        <f aca="false">Sheet1_Original_Data!N172</f>
        <v>119490.21</v>
      </c>
      <c r="O173" s="4" t="n">
        <f aca="false">IF(Sheet1_Original_Data!J172="",MEDIAN(Sheet1_Original_Data!$J$4:$J$323),Sheet1_Original_Data!J172)</f>
        <v>12.55</v>
      </c>
      <c r="P173" s="4" t="n">
        <f aca="false">IF(Sheet1_Original_Data!L172="",MEDIAN(Sheet1_Original_Data!$L$4:$L$323),Sheet1_Original_Data!L172)</f>
        <v>4.9</v>
      </c>
    </row>
    <row r="174" customFormat="false" ht="15" hidden="false" customHeight="false" outlineLevel="0" collapsed="false">
      <c r="A174" s="6" t="str">
        <f aca="false">Sheet1_Original_Data!A173</f>
        <v>STR-1043</v>
      </c>
      <c r="B174" s="6" t="str">
        <f aca="false">Sheet1_Original_Data!B173</f>
        <v>2025-02-01</v>
      </c>
      <c r="C174" s="6" t="str">
        <f aca="false">Sheet1_Original_Data!C173</f>
        <v>East</v>
      </c>
      <c r="D174" s="6" t="str">
        <f aca="false">Sheet1_Original_Data!D173</f>
        <v>Residential</v>
      </c>
      <c r="E174" s="6" t="n">
        <f aca="false">Sheet1_Original_Data!E173</f>
        <v>32834.48</v>
      </c>
      <c r="F174" s="6" t="n">
        <f aca="false">Sheet1_Original_Data!F173</f>
        <v>7576</v>
      </c>
      <c r="G174" s="6" t="n">
        <f aca="false">Sheet1_Original_Data!G173</f>
        <v>0.099</v>
      </c>
      <c r="H174" s="6" t="n">
        <f aca="false">Sheet1_Original_Data!H173</f>
        <v>15</v>
      </c>
      <c r="I174" s="6" t="n">
        <f aca="false">Sheet1_Original_Data!I173</f>
        <v>84.1</v>
      </c>
      <c r="J174" s="6" t="n">
        <f aca="false">Sheet1_Original_Data!J173</f>
        <v>3.48</v>
      </c>
      <c r="K174" s="6" t="n">
        <f aca="false">Sheet1_Original_Data!K173</f>
        <v>0</v>
      </c>
      <c r="L174" s="6" t="n">
        <f aca="false">Sheet1_Original_Data!L173</f>
        <v>5</v>
      </c>
      <c r="M174" s="6" t="n">
        <f aca="false">Sheet1_Original_Data!M173</f>
        <v>593637.14</v>
      </c>
      <c r="N174" s="6" t="n">
        <f aca="false">Sheet1_Original_Data!N173</f>
        <v>106648.14</v>
      </c>
      <c r="O174" s="4" t="n">
        <f aca="false">IF(Sheet1_Original_Data!J173="",MEDIAN(Sheet1_Original_Data!$J$4:$J$323),Sheet1_Original_Data!J173)</f>
        <v>3.48</v>
      </c>
      <c r="P174" s="4" t="n">
        <f aca="false">IF(Sheet1_Original_Data!L173="",MEDIAN(Sheet1_Original_Data!$L$4:$L$323),Sheet1_Original_Data!L173)</f>
        <v>5</v>
      </c>
    </row>
    <row r="175" customFormat="false" ht="15" hidden="false" customHeight="false" outlineLevel="0" collapsed="false">
      <c r="A175" s="6" t="str">
        <f aca="false">Sheet1_Original_Data!A174</f>
        <v>STR-1043</v>
      </c>
      <c r="B175" s="6" t="str">
        <f aca="false">Sheet1_Original_Data!B174</f>
        <v>2025-03-01</v>
      </c>
      <c r="C175" s="6" t="str">
        <f aca="false">Sheet1_Original_Data!C174</f>
        <v>East</v>
      </c>
      <c r="D175" s="6" t="str">
        <f aca="false">Sheet1_Original_Data!D174</f>
        <v>Residential</v>
      </c>
      <c r="E175" s="6" t="n">
        <f aca="false">Sheet1_Original_Data!E174</f>
        <v>50825.08</v>
      </c>
      <c r="F175" s="6" t="n">
        <f aca="false">Sheet1_Original_Data!F174</f>
        <v>8949</v>
      </c>
      <c r="G175" s="6" t="n">
        <f aca="false">Sheet1_Original_Data!G174</f>
        <v>0.157</v>
      </c>
      <c r="H175" s="6" t="n">
        <f aca="false">Sheet1_Original_Data!H174</f>
        <v>21</v>
      </c>
      <c r="I175" s="6" t="n">
        <f aca="false">Sheet1_Original_Data!I174</f>
        <v>84.7</v>
      </c>
      <c r="J175" s="6" t="n">
        <f aca="false">Sheet1_Original_Data!J174</f>
        <v>7.73</v>
      </c>
      <c r="K175" s="6" t="n">
        <f aca="false">Sheet1_Original_Data!K174</f>
        <v>0</v>
      </c>
      <c r="L175" s="6" t="n">
        <f aca="false">Sheet1_Original_Data!L174</f>
        <v>4.9</v>
      </c>
      <c r="M175" s="6" t="n">
        <f aca="false">Sheet1_Original_Data!M174</f>
        <v>769702.76</v>
      </c>
      <c r="N175" s="6" t="n">
        <f aca="false">Sheet1_Original_Data!N174</f>
        <v>158697</v>
      </c>
      <c r="O175" s="4" t="n">
        <f aca="false">IF(Sheet1_Original_Data!J174="",MEDIAN(Sheet1_Original_Data!$J$4:$J$323),Sheet1_Original_Data!J174)</f>
        <v>7.73</v>
      </c>
      <c r="P175" s="4" t="n">
        <f aca="false">IF(Sheet1_Original_Data!L174="",MEDIAN(Sheet1_Original_Data!$L$4:$L$323),Sheet1_Original_Data!L174)</f>
        <v>4.9</v>
      </c>
    </row>
    <row r="176" customFormat="false" ht="15" hidden="false" customHeight="false" outlineLevel="0" collapsed="false">
      <c r="A176" s="6" t="str">
        <f aca="false">Sheet1_Original_Data!A175</f>
        <v>STR-1043</v>
      </c>
      <c r="B176" s="6" t="str">
        <f aca="false">Sheet1_Original_Data!B175</f>
        <v>2025-04-01</v>
      </c>
      <c r="C176" s="6" t="str">
        <f aca="false">Sheet1_Original_Data!C175</f>
        <v>East</v>
      </c>
      <c r="D176" s="6" t="str">
        <f aca="false">Sheet1_Original_Data!D175</f>
        <v>Residential</v>
      </c>
      <c r="E176" s="6" t="n">
        <f aca="false">Sheet1_Original_Data!E175</f>
        <v>36606.51</v>
      </c>
      <c r="F176" s="6" t="n">
        <f aca="false">Sheet1_Original_Data!F175</f>
        <v>7671</v>
      </c>
      <c r="G176" s="6" t="n">
        <f aca="false">Sheet1_Original_Data!G175</f>
        <v>0.118</v>
      </c>
      <c r="H176" s="6" t="n">
        <f aca="false">Sheet1_Original_Data!H175</f>
        <v>18</v>
      </c>
      <c r="I176" s="6" t="n">
        <f aca="false">Sheet1_Original_Data!I175</f>
        <v>89.8</v>
      </c>
      <c r="J176" s="6" t="n">
        <f aca="false">Sheet1_Original_Data!J175</f>
        <v>0.25</v>
      </c>
      <c r="K176" s="6" t="n">
        <f aca="false">Sheet1_Original_Data!K175</f>
        <v>0</v>
      </c>
      <c r="L176" s="6" t="n">
        <f aca="false">Sheet1_Original_Data!L175</f>
        <v>4.4</v>
      </c>
      <c r="M176" s="6" t="n">
        <f aca="false">Sheet1_Original_Data!M175</f>
        <v>679731.57</v>
      </c>
      <c r="N176" s="6" t="n">
        <f aca="false">Sheet1_Original_Data!N175</f>
        <v>121546.42</v>
      </c>
      <c r="O176" s="4" t="n">
        <f aca="false">IF(Sheet1_Original_Data!J175="",MEDIAN(Sheet1_Original_Data!$J$4:$J$323),Sheet1_Original_Data!J175)</f>
        <v>0.25</v>
      </c>
      <c r="P176" s="4" t="n">
        <f aca="false">IF(Sheet1_Original_Data!L175="",MEDIAN(Sheet1_Original_Data!$L$4:$L$323),Sheet1_Original_Data!L175)</f>
        <v>4.4</v>
      </c>
    </row>
    <row r="177" customFormat="false" ht="15" hidden="false" customHeight="false" outlineLevel="0" collapsed="false">
      <c r="A177" s="6" t="str">
        <f aca="false">Sheet1_Original_Data!A176</f>
        <v>STR-1044</v>
      </c>
      <c r="B177" s="6" t="str">
        <f aca="false">Sheet1_Original_Data!B176</f>
        <v>2025-01-01</v>
      </c>
      <c r="C177" s="6" t="str">
        <f aca="false">Sheet1_Original_Data!C176</f>
        <v>East</v>
      </c>
      <c r="D177" s="6" t="str">
        <f aca="false">Sheet1_Original_Data!D176</f>
        <v>Residential</v>
      </c>
      <c r="E177" s="6" t="n">
        <f aca="false">Sheet1_Original_Data!E176</f>
        <v>65237.79</v>
      </c>
      <c r="F177" s="6" t="n">
        <f aca="false">Sheet1_Original_Data!F176</f>
        <v>8741</v>
      </c>
      <c r="G177" s="6" t="n">
        <f aca="false">Sheet1_Original_Data!G176</f>
        <v>0.157</v>
      </c>
      <c r="H177" s="6" t="n">
        <f aca="false">Sheet1_Original_Data!H176</f>
        <v>20</v>
      </c>
      <c r="I177" s="6" t="n">
        <f aca="false">Sheet1_Original_Data!I176</f>
        <v>94.4</v>
      </c>
      <c r="J177" s="6" t="n">
        <f aca="false">Sheet1_Original_Data!J176</f>
        <v>6.43</v>
      </c>
      <c r="K177" s="6" t="n">
        <f aca="false">Sheet1_Original_Data!K176</f>
        <v>0</v>
      </c>
      <c r="L177" s="6" t="n">
        <f aca="false">Sheet1_Original_Data!L176</f>
        <v>3.3</v>
      </c>
      <c r="M177" s="6" t="n">
        <f aca="false">Sheet1_Original_Data!M176</f>
        <v>780344.18</v>
      </c>
      <c r="N177" s="6" t="n">
        <f aca="false">Sheet1_Original_Data!N176</f>
        <v>118239.09</v>
      </c>
      <c r="O177" s="4" t="n">
        <f aca="false">IF(Sheet1_Original_Data!J176="",MEDIAN(Sheet1_Original_Data!$J$4:$J$323),Sheet1_Original_Data!J176)</f>
        <v>6.43</v>
      </c>
      <c r="P177" s="4" t="n">
        <f aca="false">IF(Sheet1_Original_Data!L176="",MEDIAN(Sheet1_Original_Data!$L$4:$L$323),Sheet1_Original_Data!L176)</f>
        <v>3.3</v>
      </c>
    </row>
    <row r="178" customFormat="false" ht="15" hidden="false" customHeight="false" outlineLevel="0" collapsed="false">
      <c r="A178" s="6" t="str">
        <f aca="false">Sheet1_Original_Data!A177</f>
        <v>STR-1044</v>
      </c>
      <c r="B178" s="6" t="str">
        <f aca="false">Sheet1_Original_Data!B177</f>
        <v>2025-02-01</v>
      </c>
      <c r="C178" s="6" t="str">
        <f aca="false">Sheet1_Original_Data!C177</f>
        <v>East</v>
      </c>
      <c r="D178" s="6" t="str">
        <f aca="false">Sheet1_Original_Data!D177</f>
        <v>Residential</v>
      </c>
      <c r="E178" s="6" t="n">
        <f aca="false">Sheet1_Original_Data!E177</f>
        <v>43645.98</v>
      </c>
      <c r="F178" s="6" t="n">
        <f aca="false">Sheet1_Original_Data!F177</f>
        <v>9480</v>
      </c>
      <c r="G178" s="6" t="n">
        <f aca="false">Sheet1_Original_Data!G177</f>
        <v>0.109</v>
      </c>
      <c r="H178" s="6" t="n">
        <f aca="false">Sheet1_Original_Data!H177</f>
        <v>22</v>
      </c>
      <c r="I178" s="6" t="n">
        <f aca="false">Sheet1_Original_Data!I177</f>
        <v>89</v>
      </c>
      <c r="J178" s="6" t="n">
        <f aca="false">Sheet1_Original_Data!J177</f>
        <v>2.11</v>
      </c>
      <c r="K178" s="6" t="n">
        <f aca="false">Sheet1_Original_Data!K177</f>
        <v>0</v>
      </c>
      <c r="L178" s="6" t="n">
        <f aca="false">Sheet1_Original_Data!L177</f>
        <v>3.1</v>
      </c>
      <c r="M178" s="6" t="n">
        <f aca="false">Sheet1_Original_Data!M177</f>
        <v>721364.11</v>
      </c>
      <c r="N178" s="6" t="n">
        <f aca="false">Sheet1_Original_Data!N177</f>
        <v>147272.81</v>
      </c>
      <c r="O178" s="4" t="n">
        <f aca="false">IF(Sheet1_Original_Data!J177="",MEDIAN(Sheet1_Original_Data!$J$4:$J$323),Sheet1_Original_Data!J177)</f>
        <v>2.11</v>
      </c>
      <c r="P178" s="4" t="n">
        <f aca="false">IF(Sheet1_Original_Data!L177="",MEDIAN(Sheet1_Original_Data!$L$4:$L$323),Sheet1_Original_Data!L177)</f>
        <v>3.1</v>
      </c>
    </row>
    <row r="179" customFormat="false" ht="15" hidden="false" customHeight="false" outlineLevel="0" collapsed="false">
      <c r="A179" s="6" t="str">
        <f aca="false">Sheet1_Original_Data!A178</f>
        <v>STR-1044</v>
      </c>
      <c r="B179" s="6" t="str">
        <f aca="false">Sheet1_Original_Data!B178</f>
        <v>2025-03-01</v>
      </c>
      <c r="C179" s="6" t="str">
        <f aca="false">Sheet1_Original_Data!C178</f>
        <v>East</v>
      </c>
      <c r="D179" s="6" t="str">
        <f aca="false">Sheet1_Original_Data!D178</f>
        <v>Residential</v>
      </c>
      <c r="E179" s="6" t="n">
        <f aca="false">Sheet1_Original_Data!E178</f>
        <v>68040.15</v>
      </c>
      <c r="F179" s="6" t="n">
        <f aca="false">Sheet1_Original_Data!F178</f>
        <v>9826</v>
      </c>
      <c r="G179" s="6" t="n">
        <f aca="false">Sheet1_Original_Data!G178</f>
        <v>0.125</v>
      </c>
      <c r="H179" s="6" t="n">
        <f aca="false">Sheet1_Original_Data!H178</f>
        <v>20</v>
      </c>
      <c r="I179" s="6" t="n">
        <f aca="false">Sheet1_Original_Data!I178</f>
        <v>83.9</v>
      </c>
      <c r="J179" s="6" t="n">
        <f aca="false">Sheet1_Original_Data!J178</f>
        <v>9.12</v>
      </c>
      <c r="K179" s="6" t="n">
        <f aca="false">Sheet1_Original_Data!K178</f>
        <v>0</v>
      </c>
      <c r="L179" s="6" t="n">
        <f aca="false">Sheet1_Original_Data!L178</f>
        <v>3.6</v>
      </c>
      <c r="M179" s="6" t="n">
        <f aca="false">Sheet1_Original_Data!M178</f>
        <v>758138.29</v>
      </c>
      <c r="N179" s="6" t="n">
        <f aca="false">Sheet1_Original_Data!N178</f>
        <v>132975.26</v>
      </c>
      <c r="O179" s="4" t="n">
        <f aca="false">IF(Sheet1_Original_Data!J178="",MEDIAN(Sheet1_Original_Data!$J$4:$J$323),Sheet1_Original_Data!J178)</f>
        <v>9.12</v>
      </c>
      <c r="P179" s="4" t="n">
        <f aca="false">IF(Sheet1_Original_Data!L178="",MEDIAN(Sheet1_Original_Data!$L$4:$L$323),Sheet1_Original_Data!L178)</f>
        <v>3.6</v>
      </c>
    </row>
    <row r="180" customFormat="false" ht="15" hidden="false" customHeight="false" outlineLevel="0" collapsed="false">
      <c r="A180" s="6" t="str">
        <f aca="false">Sheet1_Original_Data!A179</f>
        <v>STR-1044</v>
      </c>
      <c r="B180" s="6" t="str">
        <f aca="false">Sheet1_Original_Data!B179</f>
        <v>2025-04-01</v>
      </c>
      <c r="C180" s="6" t="str">
        <f aca="false">Sheet1_Original_Data!C179</f>
        <v>East</v>
      </c>
      <c r="D180" s="6" t="str">
        <f aca="false">Sheet1_Original_Data!D179</f>
        <v>Residential</v>
      </c>
      <c r="E180" s="6" t="n">
        <f aca="false">Sheet1_Original_Data!E179</f>
        <v>63043.94</v>
      </c>
      <c r="F180" s="6" t="n">
        <f aca="false">Sheet1_Original_Data!F179</f>
        <v>10402</v>
      </c>
      <c r="G180" s="6" t="n">
        <f aca="false">Sheet1_Original_Data!G179</f>
        <v>0.159</v>
      </c>
      <c r="H180" s="6" t="n">
        <f aca="false">Sheet1_Original_Data!H179</f>
        <v>23</v>
      </c>
      <c r="I180" s="6" t="n">
        <f aca="false">Sheet1_Original_Data!I179</f>
        <v>93.9</v>
      </c>
      <c r="J180" s="6" t="n">
        <f aca="false">Sheet1_Original_Data!J179</f>
        <v>2.71</v>
      </c>
      <c r="K180" s="6" t="n">
        <f aca="false">Sheet1_Original_Data!K179</f>
        <v>0</v>
      </c>
      <c r="L180" s="6" t="n">
        <f aca="false">Sheet1_Original_Data!L179</f>
        <v>3.1</v>
      </c>
      <c r="M180" s="6" t="n">
        <f aca="false">Sheet1_Original_Data!M179</f>
        <v>804264</v>
      </c>
      <c r="N180" s="6" t="n">
        <f aca="false">Sheet1_Original_Data!N179</f>
        <v>167117.91</v>
      </c>
      <c r="O180" s="4" t="n">
        <f aca="false">IF(Sheet1_Original_Data!J179="",MEDIAN(Sheet1_Original_Data!$J$4:$J$323),Sheet1_Original_Data!J179)</f>
        <v>2.71</v>
      </c>
      <c r="P180" s="4" t="n">
        <f aca="false">IF(Sheet1_Original_Data!L179="",MEDIAN(Sheet1_Original_Data!$L$4:$L$323),Sheet1_Original_Data!L179)</f>
        <v>3.1</v>
      </c>
    </row>
    <row r="181" customFormat="false" ht="15" hidden="false" customHeight="false" outlineLevel="0" collapsed="false">
      <c r="A181" s="6" t="str">
        <f aca="false">Sheet1_Original_Data!A180</f>
        <v>STR-1045</v>
      </c>
      <c r="B181" s="6" t="str">
        <f aca="false">Sheet1_Original_Data!B180</f>
        <v>2025-01-01</v>
      </c>
      <c r="C181" s="6" t="str">
        <f aca="false">Sheet1_Original_Data!C180</f>
        <v>West</v>
      </c>
      <c r="D181" s="6" t="str">
        <f aca="false">Sheet1_Original_Data!D180</f>
        <v>Airport</v>
      </c>
      <c r="E181" s="6" t="n">
        <f aca="false">Sheet1_Original_Data!E180</f>
        <v>67494.09</v>
      </c>
      <c r="F181" s="6" t="n">
        <f aca="false">Sheet1_Original_Data!F180</f>
        <v>12361</v>
      </c>
      <c r="G181" s="6" t="n">
        <f aca="false">Sheet1_Original_Data!G180</f>
        <v>0.046</v>
      </c>
      <c r="H181" s="6" t="n">
        <f aca="false">Sheet1_Original_Data!H180</f>
        <v>24</v>
      </c>
      <c r="I181" s="6" t="n">
        <f aca="false">Sheet1_Original_Data!I180</f>
        <v>76.6</v>
      </c>
      <c r="J181" s="6" t="n">
        <f aca="false">Sheet1_Original_Data!J180</f>
        <v>3.65</v>
      </c>
      <c r="K181" s="6" t="n">
        <f aca="false">Sheet1_Original_Data!K180</f>
        <v>1</v>
      </c>
      <c r="L181" s="6" t="n">
        <f aca="false">Sheet1_Original_Data!L180</f>
        <v>3.7</v>
      </c>
      <c r="M181" s="6" t="n">
        <f aca="false">Sheet1_Original_Data!M180</f>
        <v>887537.75</v>
      </c>
      <c r="N181" s="6" t="n">
        <f aca="false">Sheet1_Original_Data!N180</f>
        <v>160362.92</v>
      </c>
      <c r="O181" s="4" t="n">
        <f aca="false">IF(Sheet1_Original_Data!J180="",MEDIAN(Sheet1_Original_Data!$J$4:$J$323),Sheet1_Original_Data!J180)</f>
        <v>3.65</v>
      </c>
      <c r="P181" s="4" t="n">
        <f aca="false">IF(Sheet1_Original_Data!L180="",MEDIAN(Sheet1_Original_Data!$L$4:$L$323),Sheet1_Original_Data!L180)</f>
        <v>3.7</v>
      </c>
    </row>
    <row r="182" customFormat="false" ht="15" hidden="false" customHeight="false" outlineLevel="0" collapsed="false">
      <c r="A182" s="6" t="str">
        <f aca="false">Sheet1_Original_Data!A181</f>
        <v>STR-1045</v>
      </c>
      <c r="B182" s="6" t="str">
        <f aca="false">Sheet1_Original_Data!B181</f>
        <v>2025-02-01</v>
      </c>
      <c r="C182" s="6" t="str">
        <f aca="false">Sheet1_Original_Data!C181</f>
        <v>West</v>
      </c>
      <c r="D182" s="6" t="str">
        <f aca="false">Sheet1_Original_Data!D181</f>
        <v>Airport</v>
      </c>
      <c r="E182" s="6" t="n">
        <f aca="false">Sheet1_Original_Data!E181</f>
        <v>29389.32</v>
      </c>
      <c r="F182" s="6" t="n">
        <f aca="false">Sheet1_Original_Data!F181</f>
        <v>7925</v>
      </c>
      <c r="G182" s="6" t="n">
        <f aca="false">Sheet1_Original_Data!G181</f>
        <v>0.177</v>
      </c>
      <c r="H182" s="6" t="n">
        <f aca="false">Sheet1_Original_Data!H181</f>
        <v>21</v>
      </c>
      <c r="I182" s="6" t="n">
        <f aca="false">Sheet1_Original_Data!I181</f>
        <v>90.9</v>
      </c>
      <c r="J182" s="6" t="n">
        <f aca="false">Sheet1_Original_Data!J181</f>
        <v>7.86</v>
      </c>
      <c r="K182" s="6" t="n">
        <f aca="false">Sheet1_Original_Data!K181</f>
        <v>0</v>
      </c>
      <c r="L182" s="6" t="n">
        <f aca="false">Sheet1_Original_Data!L181</f>
        <v>4</v>
      </c>
      <c r="M182" s="6" t="n">
        <f aca="false">Sheet1_Original_Data!M181</f>
        <v>783582</v>
      </c>
      <c r="N182" s="6" t="n">
        <f aca="false">Sheet1_Original_Data!N181</f>
        <v>130670.93</v>
      </c>
      <c r="O182" s="4" t="n">
        <f aca="false">IF(Sheet1_Original_Data!J181="",MEDIAN(Sheet1_Original_Data!$J$4:$J$323),Sheet1_Original_Data!J181)</f>
        <v>7.86</v>
      </c>
      <c r="P182" s="4" t="n">
        <f aca="false">IF(Sheet1_Original_Data!L181="",MEDIAN(Sheet1_Original_Data!$L$4:$L$323),Sheet1_Original_Data!L181)</f>
        <v>4</v>
      </c>
    </row>
    <row r="183" customFormat="false" ht="15" hidden="false" customHeight="false" outlineLevel="0" collapsed="false">
      <c r="A183" s="6" t="str">
        <f aca="false">Sheet1_Original_Data!A182</f>
        <v>STR-1045</v>
      </c>
      <c r="B183" s="6" t="str">
        <f aca="false">Sheet1_Original_Data!B182</f>
        <v>2025-03-01</v>
      </c>
      <c r="C183" s="6" t="str">
        <f aca="false">Sheet1_Original_Data!C182</f>
        <v>West</v>
      </c>
      <c r="D183" s="6" t="str">
        <f aca="false">Sheet1_Original_Data!D182</f>
        <v>Airport</v>
      </c>
      <c r="E183" s="6" t="n">
        <f aca="false">Sheet1_Original_Data!E182</f>
        <v>40535.09</v>
      </c>
      <c r="F183" s="6" t="n">
        <f aca="false">Sheet1_Original_Data!F182</f>
        <v>8870</v>
      </c>
      <c r="G183" s="6" t="n">
        <f aca="false">Sheet1_Original_Data!G182</f>
        <v>0.041</v>
      </c>
      <c r="H183" s="6" t="n">
        <f aca="false">Sheet1_Original_Data!H182</f>
        <v>21</v>
      </c>
      <c r="I183" s="6" t="n">
        <f aca="false">Sheet1_Original_Data!I182</f>
        <v>86.6</v>
      </c>
      <c r="J183" s="6" t="n">
        <f aca="false">Sheet1_Original_Data!J182</f>
        <v>0.3</v>
      </c>
      <c r="K183" s="6" t="n">
        <f aca="false">Sheet1_Original_Data!K182</f>
        <v>0</v>
      </c>
      <c r="L183" s="6" t="n">
        <f aca="false">Sheet1_Original_Data!L182</f>
        <v>4.1</v>
      </c>
      <c r="M183" s="6" t="n">
        <f aca="false">Sheet1_Original_Data!M182</f>
        <v>781955.52</v>
      </c>
      <c r="N183" s="6" t="n">
        <f aca="false">Sheet1_Original_Data!N182</f>
        <v>152578.71</v>
      </c>
      <c r="O183" s="4" t="n">
        <f aca="false">IF(Sheet1_Original_Data!J182="",MEDIAN(Sheet1_Original_Data!$J$4:$J$323),Sheet1_Original_Data!J182)</f>
        <v>0.3</v>
      </c>
      <c r="P183" s="4" t="n">
        <f aca="false">IF(Sheet1_Original_Data!L182="",MEDIAN(Sheet1_Original_Data!$L$4:$L$323),Sheet1_Original_Data!L182)</f>
        <v>4.1</v>
      </c>
    </row>
    <row r="184" customFormat="false" ht="15" hidden="false" customHeight="false" outlineLevel="0" collapsed="false">
      <c r="A184" s="6" t="str">
        <f aca="false">Sheet1_Original_Data!A183</f>
        <v>STR-1045</v>
      </c>
      <c r="B184" s="6" t="str">
        <f aca="false">Sheet1_Original_Data!B183</f>
        <v>2025-04-01</v>
      </c>
      <c r="C184" s="6" t="str">
        <f aca="false">Sheet1_Original_Data!C183</f>
        <v>West</v>
      </c>
      <c r="D184" s="6" t="str">
        <f aca="false">Sheet1_Original_Data!D183</f>
        <v>Airport</v>
      </c>
      <c r="E184" s="6" t="n">
        <f aca="false">Sheet1_Original_Data!E183</f>
        <v>74881.56</v>
      </c>
      <c r="F184" s="6" t="n">
        <f aca="false">Sheet1_Original_Data!F183</f>
        <v>9999</v>
      </c>
      <c r="G184" s="6" t="n">
        <f aca="false">Sheet1_Original_Data!G183</f>
        <v>0.013</v>
      </c>
      <c r="H184" s="6" t="n">
        <f aca="false">Sheet1_Original_Data!H183</f>
        <v>20</v>
      </c>
      <c r="I184" s="6" t="n">
        <f aca="false">Sheet1_Original_Data!I183</f>
        <v>89.6</v>
      </c>
      <c r="J184" s="6" t="n">
        <f aca="false">Sheet1_Original_Data!J183</f>
        <v>8.44</v>
      </c>
      <c r="K184" s="6" t="n">
        <f aca="false">Sheet1_Original_Data!K183</f>
        <v>0</v>
      </c>
      <c r="L184" s="6" t="n">
        <f aca="false">Sheet1_Original_Data!L183</f>
        <v>4.1</v>
      </c>
      <c r="M184" s="6" t="n">
        <f aca="false">Sheet1_Original_Data!M183</f>
        <v>898031.04</v>
      </c>
      <c r="N184" s="6" t="n">
        <f aca="false">Sheet1_Original_Data!N183</f>
        <v>138666.5</v>
      </c>
      <c r="O184" s="4" t="n">
        <f aca="false">IF(Sheet1_Original_Data!J183="",MEDIAN(Sheet1_Original_Data!$J$4:$J$323),Sheet1_Original_Data!J183)</f>
        <v>8.44</v>
      </c>
      <c r="P184" s="4" t="n">
        <f aca="false">IF(Sheet1_Original_Data!L183="",MEDIAN(Sheet1_Original_Data!$L$4:$L$323),Sheet1_Original_Data!L183)</f>
        <v>4.1</v>
      </c>
    </row>
    <row r="185" customFormat="false" ht="15" hidden="false" customHeight="false" outlineLevel="0" collapsed="false">
      <c r="A185" s="6" t="str">
        <f aca="false">Sheet1_Original_Data!A184</f>
        <v>STR-1046</v>
      </c>
      <c r="B185" s="6" t="str">
        <f aca="false">Sheet1_Original_Data!B184</f>
        <v>2025-01-01</v>
      </c>
      <c r="C185" s="6" t="str">
        <f aca="false">Sheet1_Original_Data!C184</f>
        <v>West</v>
      </c>
      <c r="D185" s="6" t="str">
        <f aca="false">Sheet1_Original_Data!D184</f>
        <v>Residential</v>
      </c>
      <c r="E185" s="6" t="n">
        <f aca="false">Sheet1_Original_Data!E184</f>
        <v>68491.11</v>
      </c>
      <c r="F185" s="6" t="n">
        <f aca="false">Sheet1_Original_Data!F184</f>
        <v>11154</v>
      </c>
      <c r="G185" s="6" t="n">
        <f aca="false">Sheet1_Original_Data!G184</f>
        <v>0.001</v>
      </c>
      <c r="H185" s="6" t="n">
        <f aca="false">Sheet1_Original_Data!H184</f>
        <v>24</v>
      </c>
      <c r="I185" s="6" t="n">
        <f aca="false">Sheet1_Original_Data!I184</f>
        <v>89.4</v>
      </c>
      <c r="J185" s="6" t="n">
        <f aca="false">Sheet1_Original_Data!J184</f>
        <v>5.27</v>
      </c>
      <c r="K185" s="6" t="n">
        <f aca="false">Sheet1_Original_Data!K184</f>
        <v>1</v>
      </c>
      <c r="L185" s="6" t="n">
        <f aca="false">Sheet1_Original_Data!L184</f>
        <v>3.9</v>
      </c>
      <c r="M185" s="6" t="n">
        <f aca="false">Sheet1_Original_Data!M184</f>
        <v>855341.28</v>
      </c>
      <c r="N185" s="6" t="n">
        <f aca="false">Sheet1_Original_Data!N184</f>
        <v>175823.8</v>
      </c>
      <c r="O185" s="4" t="n">
        <f aca="false">IF(Sheet1_Original_Data!J184="",MEDIAN(Sheet1_Original_Data!$J$4:$J$323),Sheet1_Original_Data!J184)</f>
        <v>5.27</v>
      </c>
      <c r="P185" s="4" t="n">
        <f aca="false">IF(Sheet1_Original_Data!L184="",MEDIAN(Sheet1_Original_Data!$L$4:$L$323),Sheet1_Original_Data!L184)</f>
        <v>3.9</v>
      </c>
    </row>
    <row r="186" customFormat="false" ht="15" hidden="false" customHeight="false" outlineLevel="0" collapsed="false">
      <c r="A186" s="6" t="str">
        <f aca="false">Sheet1_Original_Data!A185</f>
        <v>STR-1046</v>
      </c>
      <c r="B186" s="6" t="str">
        <f aca="false">Sheet1_Original_Data!B185</f>
        <v>2025-02-01</v>
      </c>
      <c r="C186" s="6" t="str">
        <f aca="false">Sheet1_Original_Data!C185</f>
        <v>West</v>
      </c>
      <c r="D186" s="6" t="str">
        <f aca="false">Sheet1_Original_Data!D185</f>
        <v>Residential</v>
      </c>
      <c r="E186" s="6" t="n">
        <f aca="false">Sheet1_Original_Data!E185</f>
        <v>45209.25</v>
      </c>
      <c r="F186" s="6" t="n">
        <f aca="false">Sheet1_Original_Data!F185</f>
        <v>9287</v>
      </c>
      <c r="G186" s="6" t="n">
        <f aca="false">Sheet1_Original_Data!G185</f>
        <v>0.141</v>
      </c>
      <c r="H186" s="6" t="n">
        <f aca="false">Sheet1_Original_Data!H185</f>
        <v>22</v>
      </c>
      <c r="I186" s="6" t="n">
        <f aca="false">Sheet1_Original_Data!I185</f>
        <v>86.4</v>
      </c>
      <c r="J186" s="6" t="n">
        <f aca="false">Sheet1_Original_Data!J185</f>
        <v>13.22</v>
      </c>
      <c r="K186" s="6" t="n">
        <f aca="false">Sheet1_Original_Data!K185</f>
        <v>0</v>
      </c>
      <c r="L186" s="6" t="n">
        <f aca="false">Sheet1_Original_Data!L185</f>
        <v>3.6</v>
      </c>
      <c r="M186" s="6" t="n">
        <f aca="false">Sheet1_Original_Data!M185</f>
        <v>751393.88</v>
      </c>
      <c r="N186" s="6" t="n">
        <f aca="false">Sheet1_Original_Data!N185</f>
        <v>91480.32</v>
      </c>
      <c r="O186" s="4" t="n">
        <f aca="false">IF(Sheet1_Original_Data!J185="",MEDIAN(Sheet1_Original_Data!$J$4:$J$323),Sheet1_Original_Data!J185)</f>
        <v>13.22</v>
      </c>
      <c r="P186" s="4" t="n">
        <f aca="false">IF(Sheet1_Original_Data!L185="",MEDIAN(Sheet1_Original_Data!$L$4:$L$323),Sheet1_Original_Data!L185)</f>
        <v>3.6</v>
      </c>
    </row>
    <row r="187" customFormat="false" ht="15" hidden="false" customHeight="false" outlineLevel="0" collapsed="false">
      <c r="A187" s="6" t="str">
        <f aca="false">Sheet1_Original_Data!A186</f>
        <v>STR-1046</v>
      </c>
      <c r="B187" s="6" t="str">
        <f aca="false">Sheet1_Original_Data!B186</f>
        <v>2025-03-01</v>
      </c>
      <c r="C187" s="6" t="str">
        <f aca="false">Sheet1_Original_Data!C186</f>
        <v>West</v>
      </c>
      <c r="D187" s="6" t="str">
        <f aca="false">Sheet1_Original_Data!D186</f>
        <v>Residential</v>
      </c>
      <c r="E187" s="6" t="n">
        <f aca="false">Sheet1_Original_Data!E186</f>
        <v>63010.23</v>
      </c>
      <c r="F187" s="6" t="n">
        <f aca="false">Sheet1_Original_Data!F186</f>
        <v>9812</v>
      </c>
      <c r="G187" s="6" t="n">
        <f aca="false">Sheet1_Original_Data!G186</f>
        <v>0.113</v>
      </c>
      <c r="H187" s="6" t="n">
        <f aca="false">Sheet1_Original_Data!H186</f>
        <v>24</v>
      </c>
      <c r="I187" s="6" t="n">
        <f aca="false">Sheet1_Original_Data!I186</f>
        <v>76.8</v>
      </c>
      <c r="J187" s="6" t="n">
        <f aca="false">Sheet1_Original_Data!J186</f>
        <v>1.02</v>
      </c>
      <c r="K187" s="6" t="n">
        <f aca="false">Sheet1_Original_Data!K186</f>
        <v>1</v>
      </c>
      <c r="L187" s="6" t="n">
        <f aca="false">Sheet1_Original_Data!L186</f>
        <v>3.8</v>
      </c>
      <c r="M187" s="6" t="n">
        <f aca="false">Sheet1_Original_Data!M186</f>
        <v>761077.08</v>
      </c>
      <c r="N187" s="6" t="n">
        <f aca="false">Sheet1_Original_Data!N186</f>
        <v>113605.93</v>
      </c>
      <c r="O187" s="4" t="n">
        <f aca="false">IF(Sheet1_Original_Data!J186="",MEDIAN(Sheet1_Original_Data!$J$4:$J$323),Sheet1_Original_Data!J186)</f>
        <v>1.02</v>
      </c>
      <c r="P187" s="4" t="n">
        <f aca="false">IF(Sheet1_Original_Data!L186="",MEDIAN(Sheet1_Original_Data!$L$4:$L$323),Sheet1_Original_Data!L186)</f>
        <v>3.8</v>
      </c>
    </row>
    <row r="188" customFormat="false" ht="15" hidden="false" customHeight="false" outlineLevel="0" collapsed="false">
      <c r="A188" s="6" t="str">
        <f aca="false">Sheet1_Original_Data!A187</f>
        <v>STR-1046</v>
      </c>
      <c r="B188" s="6" t="str">
        <f aca="false">Sheet1_Original_Data!B187</f>
        <v>2025-04-01</v>
      </c>
      <c r="C188" s="6" t="str">
        <f aca="false">Sheet1_Original_Data!C187</f>
        <v>West</v>
      </c>
      <c r="D188" s="6" t="str">
        <f aca="false">Sheet1_Original_Data!D187</f>
        <v>Residential</v>
      </c>
      <c r="E188" s="6" t="n">
        <f aca="false">Sheet1_Original_Data!E187</f>
        <v>57948.88</v>
      </c>
      <c r="F188" s="6" t="n">
        <f aca="false">Sheet1_Original_Data!F187</f>
        <v>10741</v>
      </c>
      <c r="G188" s="6" t="n">
        <f aca="false">Sheet1_Original_Data!G187</f>
        <v>0.07</v>
      </c>
      <c r="H188" s="6" t="n">
        <f aca="false">Sheet1_Original_Data!H187</f>
        <v>25</v>
      </c>
      <c r="I188" s="6" t="n">
        <f aca="false">Sheet1_Original_Data!I187</f>
        <v>90.1</v>
      </c>
      <c r="J188" s="6" t="n">
        <f aca="false">Sheet1_Original_Data!J187</f>
        <v>4.03</v>
      </c>
      <c r="K188" s="6" t="n">
        <f aca="false">Sheet1_Original_Data!K187</f>
        <v>0</v>
      </c>
      <c r="L188" s="6" t="n">
        <f aca="false">Sheet1_Original_Data!L187</f>
        <v>3.1</v>
      </c>
      <c r="M188" s="6" t="n">
        <f aca="false">Sheet1_Original_Data!M187</f>
        <v>819660.59</v>
      </c>
      <c r="N188" s="6" t="n">
        <f aca="false">Sheet1_Original_Data!N187</f>
        <v>172699.95</v>
      </c>
      <c r="O188" s="4" t="n">
        <f aca="false">IF(Sheet1_Original_Data!J187="",MEDIAN(Sheet1_Original_Data!$J$4:$J$323),Sheet1_Original_Data!J187)</f>
        <v>4.03</v>
      </c>
      <c r="P188" s="4" t="n">
        <f aca="false">IF(Sheet1_Original_Data!L187="",MEDIAN(Sheet1_Original_Data!$L$4:$L$323),Sheet1_Original_Data!L187)</f>
        <v>3.1</v>
      </c>
    </row>
    <row r="189" customFormat="false" ht="15" hidden="false" customHeight="false" outlineLevel="0" collapsed="false">
      <c r="A189" s="6" t="str">
        <f aca="false">Sheet1_Original_Data!A188</f>
        <v>STR-1047</v>
      </c>
      <c r="B189" s="6" t="str">
        <f aca="false">Sheet1_Original_Data!B188</f>
        <v>2025-01-01</v>
      </c>
      <c r="C189" s="6" t="str">
        <f aca="false">Sheet1_Original_Data!C188</f>
        <v>North</v>
      </c>
      <c r="D189" s="6" t="str">
        <f aca="false">Sheet1_Original_Data!D188</f>
        <v>High Street</v>
      </c>
      <c r="E189" s="6" t="n">
        <f aca="false">Sheet1_Original_Data!E188</f>
        <v>71941.62</v>
      </c>
      <c r="F189" s="6" t="n">
        <f aca="false">Sheet1_Original_Data!F188</f>
        <v>6084</v>
      </c>
      <c r="G189" s="6" t="n">
        <f aca="false">Sheet1_Original_Data!G188</f>
        <v>0.072</v>
      </c>
      <c r="H189" s="6" t="n">
        <f aca="false">Sheet1_Original_Data!H188</f>
        <v>13</v>
      </c>
      <c r="I189" s="6" t="n">
        <f aca="false">Sheet1_Original_Data!I188</f>
        <v>93.7</v>
      </c>
      <c r="J189" s="6" t="n">
        <f aca="false">Sheet1_Original_Data!J188</f>
        <v>2.34</v>
      </c>
      <c r="K189" s="6" t="n">
        <f aca="false">Sheet1_Original_Data!K188</f>
        <v>0</v>
      </c>
      <c r="L189" s="6" t="n">
        <f aca="false">Sheet1_Original_Data!L188</f>
        <v>4.4</v>
      </c>
      <c r="M189" s="6" t="n">
        <f aca="false">Sheet1_Original_Data!M188</f>
        <v>681855.56</v>
      </c>
      <c r="N189" s="6" t="n">
        <f aca="false">Sheet1_Original_Data!N188</f>
        <v>117645.61</v>
      </c>
      <c r="O189" s="4" t="n">
        <f aca="false">IF(Sheet1_Original_Data!J188="",MEDIAN(Sheet1_Original_Data!$J$4:$J$323),Sheet1_Original_Data!J188)</f>
        <v>2.34</v>
      </c>
      <c r="P189" s="4" t="n">
        <f aca="false">IF(Sheet1_Original_Data!L188="",MEDIAN(Sheet1_Original_Data!$L$4:$L$323),Sheet1_Original_Data!L188)</f>
        <v>4.4</v>
      </c>
    </row>
    <row r="190" customFormat="false" ht="15" hidden="false" customHeight="false" outlineLevel="0" collapsed="false">
      <c r="A190" s="6" t="str">
        <f aca="false">Sheet1_Original_Data!A189</f>
        <v>STR-1047</v>
      </c>
      <c r="B190" s="6" t="str">
        <f aca="false">Sheet1_Original_Data!B189</f>
        <v>2025-02-01</v>
      </c>
      <c r="C190" s="6" t="str">
        <f aca="false">Sheet1_Original_Data!C189</f>
        <v>North</v>
      </c>
      <c r="D190" s="6" t="str">
        <f aca="false">Sheet1_Original_Data!D189</f>
        <v>High Street</v>
      </c>
      <c r="E190" s="6" t="n">
        <f aca="false">Sheet1_Original_Data!E189</f>
        <v>57147.88</v>
      </c>
      <c r="F190" s="6" t="n">
        <f aca="false">Sheet1_Original_Data!F189</f>
        <v>5252</v>
      </c>
      <c r="G190" s="6" t="n">
        <f aca="false">Sheet1_Original_Data!G189</f>
        <v>0.161</v>
      </c>
      <c r="H190" s="6" t="n">
        <f aca="false">Sheet1_Original_Data!H189</f>
        <v>15</v>
      </c>
      <c r="I190" s="6" t="n">
        <f aca="false">Sheet1_Original_Data!I189</f>
        <v>95.5</v>
      </c>
      <c r="J190" s="6" t="n">
        <f aca="false">Sheet1_Original_Data!J189</f>
        <v>8.51</v>
      </c>
      <c r="K190" s="6" t="n">
        <f aca="false">Sheet1_Original_Data!K189</f>
        <v>0</v>
      </c>
      <c r="L190" s="6" t="n">
        <f aca="false">Sheet1_Original_Data!L189</f>
        <v>4.4</v>
      </c>
      <c r="M190" s="6" t="n">
        <f aca="false">Sheet1_Original_Data!M189</f>
        <v>678311.17</v>
      </c>
      <c r="N190" s="6" t="n">
        <f aca="false">Sheet1_Original_Data!N189</f>
        <v>132029.76</v>
      </c>
      <c r="O190" s="4" t="n">
        <f aca="false">IF(Sheet1_Original_Data!J189="",MEDIAN(Sheet1_Original_Data!$J$4:$J$323),Sheet1_Original_Data!J189)</f>
        <v>8.51</v>
      </c>
      <c r="P190" s="4" t="n">
        <f aca="false">IF(Sheet1_Original_Data!L189="",MEDIAN(Sheet1_Original_Data!$L$4:$L$323),Sheet1_Original_Data!L189)</f>
        <v>4.4</v>
      </c>
    </row>
    <row r="191" customFormat="false" ht="15" hidden="false" customHeight="false" outlineLevel="0" collapsed="false">
      <c r="A191" s="6" t="str">
        <f aca="false">Sheet1_Original_Data!A190</f>
        <v>STR-1047</v>
      </c>
      <c r="B191" s="6" t="str">
        <f aca="false">Sheet1_Original_Data!B190</f>
        <v>2025-03-01</v>
      </c>
      <c r="C191" s="6" t="str">
        <f aca="false">Sheet1_Original_Data!C190</f>
        <v>North</v>
      </c>
      <c r="D191" s="6" t="str">
        <f aca="false">Sheet1_Original_Data!D190</f>
        <v>High Street</v>
      </c>
      <c r="E191" s="6" t="n">
        <f aca="false">Sheet1_Original_Data!E190</f>
        <v>48031.74</v>
      </c>
      <c r="F191" s="6" t="n">
        <f aca="false">Sheet1_Original_Data!F190</f>
        <v>6516</v>
      </c>
      <c r="G191" s="6" t="n">
        <f aca="false">Sheet1_Original_Data!G190</f>
        <v>0.067</v>
      </c>
      <c r="H191" s="6" t="n">
        <f aca="false">Sheet1_Original_Data!H190</f>
        <v>14</v>
      </c>
      <c r="I191" s="6" t="n">
        <f aca="false">Sheet1_Original_Data!I190</f>
        <v>99</v>
      </c>
      <c r="J191" s="6" t="n">
        <f aca="false">Sheet1_Original_Data!J190</f>
        <v>0.48</v>
      </c>
      <c r="K191" s="6" t="n">
        <f aca="false">Sheet1_Original_Data!K190</f>
        <v>1</v>
      </c>
      <c r="L191" s="6" t="n">
        <f aca="false">Sheet1_Original_Data!L190</f>
        <v>4.3</v>
      </c>
      <c r="M191" s="6" t="n">
        <f aca="false">Sheet1_Original_Data!M190</f>
        <v>765906.95</v>
      </c>
      <c r="N191" s="6" t="n">
        <f aca="false">Sheet1_Original_Data!N190</f>
        <v>114005.9</v>
      </c>
      <c r="O191" s="4" t="n">
        <f aca="false">IF(Sheet1_Original_Data!J190="",MEDIAN(Sheet1_Original_Data!$J$4:$J$323),Sheet1_Original_Data!J190)</f>
        <v>0.48</v>
      </c>
      <c r="P191" s="4" t="n">
        <f aca="false">IF(Sheet1_Original_Data!L190="",MEDIAN(Sheet1_Original_Data!$L$4:$L$323),Sheet1_Original_Data!L190)</f>
        <v>4.3</v>
      </c>
    </row>
    <row r="192" customFormat="false" ht="15" hidden="false" customHeight="false" outlineLevel="0" collapsed="false">
      <c r="A192" s="6" t="str">
        <f aca="false">Sheet1_Original_Data!A191</f>
        <v>STR-1047</v>
      </c>
      <c r="B192" s="6" t="str">
        <f aca="false">Sheet1_Original_Data!B191</f>
        <v>2025-04-01</v>
      </c>
      <c r="C192" s="6" t="str">
        <f aca="false">Sheet1_Original_Data!C191</f>
        <v>North</v>
      </c>
      <c r="D192" s="6" t="str">
        <f aca="false">Sheet1_Original_Data!D191</f>
        <v>High Street</v>
      </c>
      <c r="E192" s="6" t="n">
        <f aca="false">Sheet1_Original_Data!E191</f>
        <v>72784.8</v>
      </c>
      <c r="F192" s="6" t="n">
        <f aca="false">Sheet1_Original_Data!F191</f>
        <v>7932</v>
      </c>
      <c r="G192" s="6" t="n">
        <f aca="false">Sheet1_Original_Data!G191</f>
        <v>0.094</v>
      </c>
      <c r="H192" s="6" t="n">
        <f aca="false">Sheet1_Original_Data!H191</f>
        <v>20</v>
      </c>
      <c r="I192" s="6" t="n">
        <f aca="false">Sheet1_Original_Data!I191</f>
        <v>74.9</v>
      </c>
      <c r="J192" s="6" t="n">
        <f aca="false">Sheet1_Original_Data!J191</f>
        <v>13.62</v>
      </c>
      <c r="K192" s="6" t="n">
        <f aca="false">Sheet1_Original_Data!K191</f>
        <v>0</v>
      </c>
      <c r="L192" s="6" t="n">
        <f aca="false">Sheet1_Original_Data!L191</f>
        <v>4.2</v>
      </c>
      <c r="M192" s="6" t="n">
        <f aca="false">Sheet1_Original_Data!M191</f>
        <v>712546.38</v>
      </c>
      <c r="N192" s="6" t="n">
        <f aca="false">Sheet1_Original_Data!N191</f>
        <v>101480.04</v>
      </c>
      <c r="O192" s="4" t="n">
        <f aca="false">IF(Sheet1_Original_Data!J191="",MEDIAN(Sheet1_Original_Data!$J$4:$J$323),Sheet1_Original_Data!J191)</f>
        <v>13.62</v>
      </c>
      <c r="P192" s="4" t="n">
        <f aca="false">IF(Sheet1_Original_Data!L191="",MEDIAN(Sheet1_Original_Data!$L$4:$L$323),Sheet1_Original_Data!L191)</f>
        <v>4.2</v>
      </c>
    </row>
    <row r="193" customFormat="false" ht="15" hidden="false" customHeight="false" outlineLevel="0" collapsed="false">
      <c r="A193" s="6" t="str">
        <f aca="false">Sheet1_Original_Data!A192</f>
        <v>STR-1048</v>
      </c>
      <c r="B193" s="6" t="str">
        <f aca="false">Sheet1_Original_Data!B192</f>
        <v>2025-01-01</v>
      </c>
      <c r="C193" s="6" t="str">
        <f aca="false">Sheet1_Original_Data!C192</f>
        <v>East</v>
      </c>
      <c r="D193" s="6" t="str">
        <f aca="false">Sheet1_Original_Data!D192</f>
        <v>High Street</v>
      </c>
      <c r="E193" s="6" t="n">
        <f aca="false">Sheet1_Original_Data!E192</f>
        <v>71641.9</v>
      </c>
      <c r="F193" s="6" t="n">
        <f aca="false">Sheet1_Original_Data!F192</f>
        <v>3506</v>
      </c>
      <c r="G193" s="6" t="n">
        <f aca="false">Sheet1_Original_Data!G192</f>
        <v>0</v>
      </c>
      <c r="H193" s="6" t="n">
        <f aca="false">Sheet1_Original_Data!H192</f>
        <v>11</v>
      </c>
      <c r="I193" s="6" t="n">
        <f aca="false">Sheet1_Original_Data!I192</f>
        <v>86.4</v>
      </c>
      <c r="J193" s="6" t="n">
        <f aca="false">Sheet1_Original_Data!J192</f>
        <v>7.77</v>
      </c>
      <c r="K193" s="6" t="n">
        <f aca="false">Sheet1_Original_Data!K192</f>
        <v>0</v>
      </c>
      <c r="L193" s="6" t="n">
        <f aca="false">Sheet1_Original_Data!L192</f>
        <v>4.1</v>
      </c>
      <c r="M193" s="6" t="n">
        <f aca="false">Sheet1_Original_Data!M192</f>
        <v>625993.83</v>
      </c>
      <c r="N193" s="6" t="n">
        <f aca="false">Sheet1_Original_Data!N192</f>
        <v>98960.32</v>
      </c>
      <c r="O193" s="4" t="n">
        <f aca="false">IF(Sheet1_Original_Data!J192="",MEDIAN(Sheet1_Original_Data!$J$4:$J$323),Sheet1_Original_Data!J192)</f>
        <v>7.77</v>
      </c>
      <c r="P193" s="4" t="n">
        <f aca="false">IF(Sheet1_Original_Data!L192="",MEDIAN(Sheet1_Original_Data!$L$4:$L$323),Sheet1_Original_Data!L192)</f>
        <v>4.1</v>
      </c>
    </row>
    <row r="194" customFormat="false" ht="15" hidden="false" customHeight="false" outlineLevel="0" collapsed="false">
      <c r="A194" s="6" t="str">
        <f aca="false">Sheet1_Original_Data!A193</f>
        <v>STR-1048</v>
      </c>
      <c r="B194" s="6" t="str">
        <f aca="false">Sheet1_Original_Data!B193</f>
        <v>2025-02-01</v>
      </c>
      <c r="C194" s="6" t="str">
        <f aca="false">Sheet1_Original_Data!C193</f>
        <v>East</v>
      </c>
      <c r="D194" s="6" t="str">
        <f aca="false">Sheet1_Original_Data!D193</f>
        <v>High Street</v>
      </c>
      <c r="E194" s="6" t="n">
        <f aca="false">Sheet1_Original_Data!E193</f>
        <v>55788.61</v>
      </c>
      <c r="F194" s="6" t="n">
        <f aca="false">Sheet1_Original_Data!F193</f>
        <v>2312</v>
      </c>
      <c r="G194" s="6" t="n">
        <f aca="false">Sheet1_Original_Data!G193</f>
        <v>0.058</v>
      </c>
      <c r="H194" s="6" t="n">
        <f aca="false">Sheet1_Original_Data!H193</f>
        <v>10</v>
      </c>
      <c r="I194" s="6" t="n">
        <f aca="false">Sheet1_Original_Data!I193</f>
        <v>91.3</v>
      </c>
      <c r="J194" s="6" t="n">
        <f aca="false">Sheet1_Original_Data!J193</f>
        <v>1.99</v>
      </c>
      <c r="K194" s="6" t="n">
        <f aca="false">Sheet1_Original_Data!K193</f>
        <v>0</v>
      </c>
      <c r="L194" s="6" t="n">
        <f aca="false">Sheet1_Original_Data!L193</f>
        <v>3.8</v>
      </c>
      <c r="M194" s="6" t="n">
        <f aca="false">Sheet1_Original_Data!M193</f>
        <v>550962.93</v>
      </c>
      <c r="N194" s="6" t="n">
        <f aca="false">Sheet1_Original_Data!N193</f>
        <v>97144.58</v>
      </c>
      <c r="O194" s="4" t="n">
        <f aca="false">IF(Sheet1_Original_Data!J193="",MEDIAN(Sheet1_Original_Data!$J$4:$J$323),Sheet1_Original_Data!J193)</f>
        <v>1.99</v>
      </c>
      <c r="P194" s="4" t="n">
        <f aca="false">IF(Sheet1_Original_Data!L193="",MEDIAN(Sheet1_Original_Data!$L$4:$L$323),Sheet1_Original_Data!L193)</f>
        <v>3.8</v>
      </c>
    </row>
    <row r="195" customFormat="false" ht="15" hidden="false" customHeight="false" outlineLevel="0" collapsed="false">
      <c r="A195" s="6" t="str">
        <f aca="false">Sheet1_Original_Data!A194</f>
        <v>STR-1048</v>
      </c>
      <c r="B195" s="6" t="str">
        <f aca="false">Sheet1_Original_Data!B194</f>
        <v>2025-03-01</v>
      </c>
      <c r="C195" s="6" t="str">
        <f aca="false">Sheet1_Original_Data!C194</f>
        <v>East</v>
      </c>
      <c r="D195" s="6" t="str">
        <f aca="false">Sheet1_Original_Data!D194</f>
        <v>High Street</v>
      </c>
      <c r="E195" s="6" t="n">
        <f aca="false">Sheet1_Original_Data!E194</f>
        <v>37705.88</v>
      </c>
      <c r="F195" s="6" t="n">
        <f aca="false">Sheet1_Original_Data!F194</f>
        <v>1268</v>
      </c>
      <c r="G195" s="6" t="n">
        <f aca="false">Sheet1_Original_Data!G194</f>
        <v>0.259</v>
      </c>
      <c r="H195" s="6" t="n">
        <f aca="false">Sheet1_Original_Data!H194</f>
        <v>9</v>
      </c>
      <c r="I195" s="6" t="n">
        <f aca="false">Sheet1_Original_Data!I194</f>
        <v>84.1</v>
      </c>
      <c r="J195" s="6" t="n">
        <f aca="false">Sheet1_Original_Data!J194</f>
        <v>4.77</v>
      </c>
      <c r="K195" s="6" t="n">
        <f aca="false">Sheet1_Original_Data!K194</f>
        <v>0</v>
      </c>
      <c r="L195" s="6" t="n">
        <f aca="false">Sheet1_Original_Data!L194</f>
        <v>3.8</v>
      </c>
      <c r="M195" s="6" t="n">
        <f aca="false">Sheet1_Original_Data!M194</f>
        <v>443275.59</v>
      </c>
      <c r="N195" s="6" t="n">
        <f aca="false">Sheet1_Original_Data!N194</f>
        <v>53544.36</v>
      </c>
      <c r="O195" s="4" t="n">
        <f aca="false">IF(Sheet1_Original_Data!J194="",MEDIAN(Sheet1_Original_Data!$J$4:$J$323),Sheet1_Original_Data!J194)</f>
        <v>4.77</v>
      </c>
      <c r="P195" s="4" t="n">
        <f aca="false">IF(Sheet1_Original_Data!L194="",MEDIAN(Sheet1_Original_Data!$L$4:$L$323),Sheet1_Original_Data!L194)</f>
        <v>3.8</v>
      </c>
    </row>
    <row r="196" customFormat="false" ht="15" hidden="false" customHeight="false" outlineLevel="0" collapsed="false">
      <c r="A196" s="6" t="str">
        <f aca="false">Sheet1_Original_Data!A195</f>
        <v>STR-1048</v>
      </c>
      <c r="B196" s="6" t="str">
        <f aca="false">Sheet1_Original_Data!B195</f>
        <v>2025-04-01</v>
      </c>
      <c r="C196" s="6" t="str">
        <f aca="false">Sheet1_Original_Data!C195</f>
        <v>East</v>
      </c>
      <c r="D196" s="6" t="str">
        <f aca="false">Sheet1_Original_Data!D195</f>
        <v>High Street</v>
      </c>
      <c r="E196" s="6" t="n">
        <f aca="false">Sheet1_Original_Data!E195</f>
        <v>54966.18</v>
      </c>
      <c r="F196" s="6" t="n">
        <f aca="false">Sheet1_Original_Data!F195</f>
        <v>4423</v>
      </c>
      <c r="G196" s="6" t="n">
        <f aca="false">Sheet1_Original_Data!G195</f>
        <v>0.186</v>
      </c>
      <c r="H196" s="6" t="n">
        <f aca="false">Sheet1_Original_Data!H195</f>
        <v>13</v>
      </c>
      <c r="I196" s="6" t="n">
        <f aca="false">Sheet1_Original_Data!I195</f>
        <v>88.7</v>
      </c>
      <c r="J196" s="6" t="n">
        <f aca="false">Sheet1_Original_Data!J195</f>
        <v>0.2</v>
      </c>
      <c r="K196" s="6" t="n">
        <f aca="false">Sheet1_Original_Data!K195</f>
        <v>0</v>
      </c>
      <c r="L196" s="6" t="n">
        <f aca="false">Sheet1_Original_Data!L195</f>
        <v>4.4</v>
      </c>
      <c r="M196" s="6" t="n">
        <f aca="false">Sheet1_Original_Data!M195</f>
        <v>554012.07</v>
      </c>
      <c r="N196" s="6" t="n">
        <f aca="false">Sheet1_Original_Data!N195</f>
        <v>81101.62</v>
      </c>
      <c r="O196" s="4" t="n">
        <f aca="false">IF(Sheet1_Original_Data!J195="",MEDIAN(Sheet1_Original_Data!$J$4:$J$323),Sheet1_Original_Data!J195)</f>
        <v>0.2</v>
      </c>
      <c r="P196" s="4" t="n">
        <f aca="false">IF(Sheet1_Original_Data!L195="",MEDIAN(Sheet1_Original_Data!$L$4:$L$323),Sheet1_Original_Data!L195)</f>
        <v>4.4</v>
      </c>
    </row>
    <row r="197" customFormat="false" ht="15" hidden="false" customHeight="false" outlineLevel="0" collapsed="false">
      <c r="A197" s="6" t="str">
        <f aca="false">Sheet1_Original_Data!A196</f>
        <v>STR-1049</v>
      </c>
      <c r="B197" s="6" t="str">
        <f aca="false">Sheet1_Original_Data!B196</f>
        <v>2025-01-01</v>
      </c>
      <c r="C197" s="6" t="str">
        <f aca="false">Sheet1_Original_Data!C196</f>
        <v>West</v>
      </c>
      <c r="D197" s="6" t="str">
        <f aca="false">Sheet1_Original_Data!D196</f>
        <v>Residential</v>
      </c>
      <c r="E197" s="6" t="n">
        <f aca="false">Sheet1_Original_Data!E196</f>
        <v>81796.74</v>
      </c>
      <c r="F197" s="6" t="n">
        <f aca="false">Sheet1_Original_Data!F196</f>
        <v>6177</v>
      </c>
      <c r="G197" s="6" t="n">
        <f aca="false">Sheet1_Original_Data!G196</f>
        <v>0.164</v>
      </c>
      <c r="H197" s="6" t="n">
        <f aca="false">Sheet1_Original_Data!H196</f>
        <v>14</v>
      </c>
      <c r="I197" s="6" t="n">
        <f aca="false">Sheet1_Original_Data!I196</f>
        <v>87.9</v>
      </c>
      <c r="J197" s="6" t="n">
        <f aca="false">Sheet1_Original_Data!J196</f>
        <v>0.53</v>
      </c>
      <c r="K197" s="6" t="n">
        <f aca="false">Sheet1_Original_Data!K196</f>
        <v>0</v>
      </c>
      <c r="L197" s="6" t="n">
        <f aca="false">Sheet1_Original_Data!L196</f>
        <v>3.2</v>
      </c>
      <c r="M197" s="6" t="n">
        <f aca="false">Sheet1_Original_Data!M196</f>
        <v>643428.85</v>
      </c>
      <c r="N197" s="6" t="n">
        <f aca="false">Sheet1_Original_Data!N196</f>
        <v>94477.63</v>
      </c>
      <c r="O197" s="4" t="n">
        <f aca="false">IF(Sheet1_Original_Data!J196="",MEDIAN(Sheet1_Original_Data!$J$4:$J$323),Sheet1_Original_Data!J196)</f>
        <v>0.53</v>
      </c>
      <c r="P197" s="4" t="n">
        <f aca="false">IF(Sheet1_Original_Data!L196="",MEDIAN(Sheet1_Original_Data!$L$4:$L$323),Sheet1_Original_Data!L196)</f>
        <v>3.2</v>
      </c>
    </row>
    <row r="198" customFormat="false" ht="15" hidden="false" customHeight="false" outlineLevel="0" collapsed="false">
      <c r="A198" s="6" t="str">
        <f aca="false">Sheet1_Original_Data!A197</f>
        <v>STR-1049</v>
      </c>
      <c r="B198" s="6" t="str">
        <f aca="false">Sheet1_Original_Data!B197</f>
        <v>2025-02-01</v>
      </c>
      <c r="C198" s="6" t="str">
        <f aca="false">Sheet1_Original_Data!C197</f>
        <v>West</v>
      </c>
      <c r="D198" s="6" t="str">
        <f aca="false">Sheet1_Original_Data!D197</f>
        <v>Residential</v>
      </c>
      <c r="E198" s="6" t="n">
        <f aca="false">Sheet1_Original_Data!E197</f>
        <v>51133.43</v>
      </c>
      <c r="F198" s="6" t="n">
        <f aca="false">Sheet1_Original_Data!F197</f>
        <v>5150</v>
      </c>
      <c r="G198" s="6" t="n">
        <f aca="false">Sheet1_Original_Data!G197</f>
        <v>0.15</v>
      </c>
      <c r="H198" s="6" t="n">
        <f aca="false">Sheet1_Original_Data!H197</f>
        <v>12</v>
      </c>
      <c r="I198" s="6" t="n">
        <f aca="false">Sheet1_Original_Data!I197</f>
        <v>88.5</v>
      </c>
      <c r="J198" s="6" t="n">
        <f aca="false">Sheet1_Original_Data!J197</f>
        <v>1.54</v>
      </c>
      <c r="K198" s="6" t="n">
        <f aca="false">Sheet1_Original_Data!K197</f>
        <v>0</v>
      </c>
      <c r="L198" s="6" t="n">
        <f aca="false">Sheet1_Original_Data!L197</f>
        <v>3.2</v>
      </c>
      <c r="M198" s="6" t="n">
        <f aca="false">Sheet1_Original_Data!M197</f>
        <v>611924.27</v>
      </c>
      <c r="N198" s="6" t="n">
        <f aca="false">Sheet1_Original_Data!N197</f>
        <v>115488.75</v>
      </c>
      <c r="O198" s="4" t="n">
        <f aca="false">IF(Sheet1_Original_Data!J197="",MEDIAN(Sheet1_Original_Data!$J$4:$J$323),Sheet1_Original_Data!J197)</f>
        <v>1.54</v>
      </c>
      <c r="P198" s="4" t="n">
        <f aca="false">IF(Sheet1_Original_Data!L197="",MEDIAN(Sheet1_Original_Data!$L$4:$L$323),Sheet1_Original_Data!L197)</f>
        <v>3.2</v>
      </c>
    </row>
    <row r="199" customFormat="false" ht="15" hidden="false" customHeight="false" outlineLevel="0" collapsed="false">
      <c r="A199" s="6" t="str">
        <f aca="false">Sheet1_Original_Data!A198</f>
        <v>STR-1049</v>
      </c>
      <c r="B199" s="6" t="str">
        <f aca="false">Sheet1_Original_Data!B198</f>
        <v>2025-03-01</v>
      </c>
      <c r="C199" s="6" t="str">
        <f aca="false">Sheet1_Original_Data!C198</f>
        <v>West</v>
      </c>
      <c r="D199" s="6" t="str">
        <f aca="false">Sheet1_Original_Data!D198</f>
        <v>Residential</v>
      </c>
      <c r="E199" s="6" t="n">
        <f aca="false">Sheet1_Original_Data!E198</f>
        <v>40220.18</v>
      </c>
      <c r="F199" s="6" t="n">
        <f aca="false">Sheet1_Original_Data!F198</f>
        <v>3783</v>
      </c>
      <c r="G199" s="6" t="n">
        <f aca="false">Sheet1_Original_Data!G198</f>
        <v>0.089</v>
      </c>
      <c r="H199" s="6" t="n">
        <f aca="false">Sheet1_Original_Data!H198</f>
        <v>14</v>
      </c>
      <c r="I199" s="6" t="n">
        <f aca="false">Sheet1_Original_Data!I198</f>
        <v>86.6</v>
      </c>
      <c r="J199" s="6" t="n">
        <f aca="false">Sheet1_Original_Data!J198</f>
        <v>3.63</v>
      </c>
      <c r="K199" s="6" t="n">
        <f aca="false">Sheet1_Original_Data!K198</f>
        <v>0</v>
      </c>
      <c r="L199" s="6" t="n">
        <f aca="false">Sheet1_Original_Data!L198</f>
        <v>3.7</v>
      </c>
      <c r="M199" s="6" t="n">
        <f aca="false">Sheet1_Original_Data!M198</f>
        <v>559422.02</v>
      </c>
      <c r="N199" s="6" t="n">
        <f aca="false">Sheet1_Original_Data!N198</f>
        <v>73528.74</v>
      </c>
      <c r="O199" s="4" t="n">
        <f aca="false">IF(Sheet1_Original_Data!J198="",MEDIAN(Sheet1_Original_Data!$J$4:$J$323),Sheet1_Original_Data!J198)</f>
        <v>3.63</v>
      </c>
      <c r="P199" s="4" t="n">
        <f aca="false">IF(Sheet1_Original_Data!L198="",MEDIAN(Sheet1_Original_Data!$L$4:$L$323),Sheet1_Original_Data!L198)</f>
        <v>3.7</v>
      </c>
    </row>
    <row r="200" customFormat="false" ht="15" hidden="false" customHeight="false" outlineLevel="0" collapsed="false">
      <c r="A200" s="6" t="str">
        <f aca="false">Sheet1_Original_Data!A199</f>
        <v>STR-1049</v>
      </c>
      <c r="B200" s="6" t="str">
        <f aca="false">Sheet1_Original_Data!B199</f>
        <v>2025-04-01</v>
      </c>
      <c r="C200" s="6" t="str">
        <f aca="false">Sheet1_Original_Data!C199</f>
        <v>West</v>
      </c>
      <c r="D200" s="6" t="str">
        <f aca="false">Sheet1_Original_Data!D199</f>
        <v>Residential</v>
      </c>
      <c r="E200" s="6" t="n">
        <f aca="false">Sheet1_Original_Data!E199</f>
        <v>41657.64</v>
      </c>
      <c r="F200" s="6" t="n">
        <f aca="false">Sheet1_Original_Data!F199</f>
        <v>3135</v>
      </c>
      <c r="G200" s="6" t="n">
        <f aca="false">Sheet1_Original_Data!G199</f>
        <v>0.229</v>
      </c>
      <c r="H200" s="6" t="n">
        <f aca="false">Sheet1_Original_Data!H199</f>
        <v>7</v>
      </c>
      <c r="I200" s="6" t="n">
        <f aca="false">Sheet1_Original_Data!I199</f>
        <v>85.4</v>
      </c>
      <c r="J200" s="6" t="n">
        <f aca="false">Sheet1_Original_Data!J199</f>
        <v>13.48</v>
      </c>
      <c r="K200" s="6" t="n">
        <f aca="false">Sheet1_Original_Data!K199</f>
        <v>0</v>
      </c>
      <c r="L200" s="6" t="n">
        <f aca="false">Sheet1_Original_Data!L199</f>
        <v>0</v>
      </c>
      <c r="M200" s="6" t="n">
        <f aca="false">Sheet1_Original_Data!M199</f>
        <v>449465.06</v>
      </c>
      <c r="N200" s="6" t="n">
        <f aca="false">Sheet1_Original_Data!N199</f>
        <v>65694.78</v>
      </c>
      <c r="O200" s="4" t="n">
        <f aca="false">IF(Sheet1_Original_Data!J199="",MEDIAN(Sheet1_Original_Data!$J$4:$J$323),Sheet1_Original_Data!J199)</f>
        <v>13.48</v>
      </c>
      <c r="P200" s="4" t="n">
        <f aca="false">IF(Sheet1_Original_Data!L199="",MEDIAN(Sheet1_Original_Data!$L$4:$L$323),Sheet1_Original_Data!L199)</f>
        <v>3.9</v>
      </c>
    </row>
    <row r="201" customFormat="false" ht="15" hidden="false" customHeight="false" outlineLevel="0" collapsed="false">
      <c r="A201" s="6" t="str">
        <f aca="false">Sheet1_Original_Data!A200</f>
        <v>STR-1050</v>
      </c>
      <c r="B201" s="6" t="str">
        <f aca="false">Sheet1_Original_Data!B200</f>
        <v>2025-01-01</v>
      </c>
      <c r="C201" s="6" t="str">
        <f aca="false">Sheet1_Original_Data!C200</f>
        <v>North</v>
      </c>
      <c r="D201" s="6" t="str">
        <f aca="false">Sheet1_Original_Data!D200</f>
        <v>Residential</v>
      </c>
      <c r="E201" s="6" t="n">
        <f aca="false">Sheet1_Original_Data!E200</f>
        <v>71851.45</v>
      </c>
      <c r="F201" s="6" t="n">
        <f aca="false">Sheet1_Original_Data!F200</f>
        <v>4970</v>
      </c>
      <c r="G201" s="6" t="n">
        <f aca="false">Sheet1_Original_Data!G200</f>
        <v>0.098</v>
      </c>
      <c r="H201" s="6" t="n">
        <f aca="false">Sheet1_Original_Data!H200</f>
        <v>11</v>
      </c>
      <c r="I201" s="6" t="n">
        <f aca="false">Sheet1_Original_Data!I200</f>
        <v>89.6</v>
      </c>
      <c r="J201" s="6" t="n">
        <f aca="false">Sheet1_Original_Data!J200</f>
        <v>0.2</v>
      </c>
      <c r="K201" s="6" t="n">
        <f aca="false">Sheet1_Original_Data!K200</f>
        <v>0</v>
      </c>
      <c r="L201" s="6" t="n">
        <f aca="false">Sheet1_Original_Data!L200</f>
        <v>4.2</v>
      </c>
      <c r="M201" s="6" t="n">
        <f aca="false">Sheet1_Original_Data!M200</f>
        <v>691447.43</v>
      </c>
      <c r="N201" s="6" t="n">
        <f aca="false">Sheet1_Original_Data!N200</f>
        <v>114077.69</v>
      </c>
      <c r="O201" s="4" t="n">
        <f aca="false">IF(Sheet1_Original_Data!J200="",MEDIAN(Sheet1_Original_Data!$J$4:$J$323),Sheet1_Original_Data!J200)</f>
        <v>0.2</v>
      </c>
      <c r="P201" s="4" t="n">
        <f aca="false">IF(Sheet1_Original_Data!L200="",MEDIAN(Sheet1_Original_Data!$L$4:$L$323),Sheet1_Original_Data!L200)</f>
        <v>4.2</v>
      </c>
    </row>
    <row r="202" customFormat="false" ht="15" hidden="false" customHeight="false" outlineLevel="0" collapsed="false">
      <c r="A202" s="6" t="str">
        <f aca="false">Sheet1_Original_Data!A201</f>
        <v>STR-1050</v>
      </c>
      <c r="B202" s="6" t="str">
        <f aca="false">Sheet1_Original_Data!B201</f>
        <v>2025-02-01</v>
      </c>
      <c r="C202" s="6" t="str">
        <f aca="false">Sheet1_Original_Data!C201</f>
        <v>North</v>
      </c>
      <c r="D202" s="6" t="str">
        <f aca="false">Sheet1_Original_Data!D201</f>
        <v>Residential</v>
      </c>
      <c r="E202" s="6" t="n">
        <f aca="false">Sheet1_Original_Data!E201</f>
        <v>54002.83</v>
      </c>
      <c r="F202" s="6" t="n">
        <f aca="false">Sheet1_Original_Data!F201</f>
        <v>4366</v>
      </c>
      <c r="G202" s="6" t="n">
        <f aca="false">Sheet1_Original_Data!G201</f>
        <v>0.027</v>
      </c>
      <c r="H202" s="6" t="n">
        <f aca="false">Sheet1_Original_Data!H201</f>
        <v>15</v>
      </c>
      <c r="I202" s="6" t="n">
        <f aca="false">Sheet1_Original_Data!I201</f>
        <v>90.6</v>
      </c>
      <c r="J202" s="6" t="n">
        <f aca="false">Sheet1_Original_Data!J201</f>
        <v>12.82</v>
      </c>
      <c r="K202" s="6" t="n">
        <f aca="false">Sheet1_Original_Data!K201</f>
        <v>0</v>
      </c>
      <c r="L202" s="6" t="n">
        <f aca="false">Sheet1_Original_Data!L201</f>
        <v>4.6</v>
      </c>
      <c r="M202" s="6" t="n">
        <f aca="false">Sheet1_Original_Data!M201</f>
        <v>574066.61</v>
      </c>
      <c r="N202" s="6" t="n">
        <f aca="false">Sheet1_Original_Data!N201</f>
        <v>124674.67</v>
      </c>
      <c r="O202" s="4" t="n">
        <f aca="false">IF(Sheet1_Original_Data!J201="",MEDIAN(Sheet1_Original_Data!$J$4:$J$323),Sheet1_Original_Data!J201)</f>
        <v>12.82</v>
      </c>
      <c r="P202" s="4" t="n">
        <f aca="false">IF(Sheet1_Original_Data!L201="",MEDIAN(Sheet1_Original_Data!$L$4:$L$323),Sheet1_Original_Data!L201)</f>
        <v>4.6</v>
      </c>
    </row>
    <row r="203" customFormat="false" ht="15" hidden="false" customHeight="false" outlineLevel="0" collapsed="false">
      <c r="A203" s="6" t="str">
        <f aca="false">Sheet1_Original_Data!A202</f>
        <v>STR-1050</v>
      </c>
      <c r="B203" s="6" t="str">
        <f aca="false">Sheet1_Original_Data!B202</f>
        <v>2025-03-01</v>
      </c>
      <c r="C203" s="6" t="str">
        <f aca="false">Sheet1_Original_Data!C202</f>
        <v>North</v>
      </c>
      <c r="D203" s="6" t="str">
        <f aca="false">Sheet1_Original_Data!D202</f>
        <v>Residential</v>
      </c>
      <c r="E203" s="6" t="n">
        <f aca="false">Sheet1_Original_Data!E202</f>
        <v>54479.33</v>
      </c>
      <c r="F203" s="6" t="n">
        <f aca="false">Sheet1_Original_Data!F202</f>
        <v>5012</v>
      </c>
      <c r="G203" s="6" t="n">
        <f aca="false">Sheet1_Original_Data!G202</f>
        <v>0.284</v>
      </c>
      <c r="H203" s="6" t="n">
        <f aca="false">Sheet1_Original_Data!H202</f>
        <v>13</v>
      </c>
      <c r="I203" s="6" t="n">
        <f aca="false">Sheet1_Original_Data!I202</f>
        <v>86</v>
      </c>
      <c r="J203" s="6" t="n">
        <f aca="false">Sheet1_Original_Data!J202</f>
        <v>2.24</v>
      </c>
      <c r="K203" s="6" t="n">
        <f aca="false">Sheet1_Original_Data!K202</f>
        <v>1</v>
      </c>
      <c r="L203" s="6" t="n">
        <f aca="false">Sheet1_Original_Data!L202</f>
        <v>4.3</v>
      </c>
      <c r="M203" s="6" t="n">
        <f aca="false">Sheet1_Original_Data!M202</f>
        <v>578949.84</v>
      </c>
      <c r="N203" s="6" t="n">
        <f aca="false">Sheet1_Original_Data!N202</f>
        <v>80253.65</v>
      </c>
      <c r="O203" s="4" t="n">
        <f aca="false">IF(Sheet1_Original_Data!J202="",MEDIAN(Sheet1_Original_Data!$J$4:$J$323),Sheet1_Original_Data!J202)</f>
        <v>2.24</v>
      </c>
      <c r="P203" s="4" t="n">
        <f aca="false">IF(Sheet1_Original_Data!L202="",MEDIAN(Sheet1_Original_Data!$L$4:$L$323),Sheet1_Original_Data!L202)</f>
        <v>4.3</v>
      </c>
    </row>
    <row r="204" customFormat="false" ht="15" hidden="false" customHeight="false" outlineLevel="0" collapsed="false">
      <c r="A204" s="6" t="str">
        <f aca="false">Sheet1_Original_Data!A203</f>
        <v>STR-1050</v>
      </c>
      <c r="B204" s="6" t="str">
        <f aca="false">Sheet1_Original_Data!B203</f>
        <v>2025-04-01</v>
      </c>
      <c r="C204" s="6" t="str">
        <f aca="false">Sheet1_Original_Data!C203</f>
        <v>North</v>
      </c>
      <c r="D204" s="6" t="str">
        <f aca="false">Sheet1_Original_Data!D203</f>
        <v>Residential</v>
      </c>
      <c r="E204" s="6" t="n">
        <f aca="false">Sheet1_Original_Data!E203</f>
        <v>61391.8</v>
      </c>
      <c r="F204" s="6" t="n">
        <f aca="false">Sheet1_Original_Data!F203</f>
        <v>5575</v>
      </c>
      <c r="G204" s="6" t="n">
        <f aca="false">Sheet1_Original_Data!G203</f>
        <v>0.189</v>
      </c>
      <c r="H204" s="6" t="n">
        <f aca="false">Sheet1_Original_Data!H203</f>
        <v>18</v>
      </c>
      <c r="I204" s="6" t="n">
        <f aca="false">Sheet1_Original_Data!I203</f>
        <v>90</v>
      </c>
      <c r="J204" s="6" t="n">
        <f aca="false">Sheet1_Original_Data!J203</f>
        <v>1.8</v>
      </c>
      <c r="K204" s="6" t="n">
        <f aca="false">Sheet1_Original_Data!K203</f>
        <v>0</v>
      </c>
      <c r="L204" s="6" t="n">
        <f aca="false">Sheet1_Original_Data!L203</f>
        <v>4.8</v>
      </c>
      <c r="M204" s="6" t="n">
        <f aca="false">Sheet1_Original_Data!M203</f>
        <v>735786.64</v>
      </c>
      <c r="N204" s="6" t="n">
        <f aca="false">Sheet1_Original_Data!N203</f>
        <v>126540.66</v>
      </c>
      <c r="O204" s="4" t="n">
        <f aca="false">IF(Sheet1_Original_Data!J203="",MEDIAN(Sheet1_Original_Data!$J$4:$J$323),Sheet1_Original_Data!J203)</f>
        <v>1.8</v>
      </c>
      <c r="P204" s="4" t="n">
        <f aca="false">IF(Sheet1_Original_Data!L203="",MEDIAN(Sheet1_Original_Data!$L$4:$L$323),Sheet1_Original_Data!L203)</f>
        <v>4.8</v>
      </c>
    </row>
    <row r="205" customFormat="false" ht="15" hidden="false" customHeight="false" outlineLevel="0" collapsed="false">
      <c r="A205" s="6" t="str">
        <f aca="false">Sheet1_Original_Data!A204</f>
        <v>STR-1051</v>
      </c>
      <c r="B205" s="6" t="str">
        <f aca="false">Sheet1_Original_Data!B204</f>
        <v>2025-01-01</v>
      </c>
      <c r="C205" s="6" t="str">
        <f aca="false">Sheet1_Original_Data!C204</f>
        <v>East</v>
      </c>
      <c r="D205" s="6" t="str">
        <f aca="false">Sheet1_Original_Data!D204</f>
        <v>Airport</v>
      </c>
      <c r="E205" s="6" t="n">
        <f aca="false">Sheet1_Original_Data!E204</f>
        <v>22312.93</v>
      </c>
      <c r="F205" s="6" t="n">
        <f aca="false">Sheet1_Original_Data!F204</f>
        <v>5955</v>
      </c>
      <c r="G205" s="6" t="n">
        <f aca="false">Sheet1_Original_Data!G204</f>
        <v>0.123</v>
      </c>
      <c r="H205" s="6" t="n">
        <f aca="false">Sheet1_Original_Data!H204</f>
        <v>13</v>
      </c>
      <c r="I205" s="6" t="n">
        <f aca="false">Sheet1_Original_Data!I204</f>
        <v>84.2</v>
      </c>
      <c r="J205" s="6" t="n">
        <f aca="false">Sheet1_Original_Data!J204</f>
        <v>0.41</v>
      </c>
      <c r="K205" s="6" t="n">
        <f aca="false">Sheet1_Original_Data!K204</f>
        <v>1</v>
      </c>
      <c r="L205" s="6" t="n">
        <f aca="false">Sheet1_Original_Data!L204</f>
        <v>4.6</v>
      </c>
      <c r="M205" s="6" t="n">
        <f aca="false">Sheet1_Original_Data!M204</f>
        <v>598904.9</v>
      </c>
      <c r="N205" s="6" t="n">
        <f aca="false">Sheet1_Original_Data!N204</f>
        <v>72861</v>
      </c>
      <c r="O205" s="4" t="n">
        <f aca="false">IF(Sheet1_Original_Data!J204="",MEDIAN(Sheet1_Original_Data!$J$4:$J$323),Sheet1_Original_Data!J204)</f>
        <v>0.41</v>
      </c>
      <c r="P205" s="4" t="n">
        <f aca="false">IF(Sheet1_Original_Data!L204="",MEDIAN(Sheet1_Original_Data!$L$4:$L$323),Sheet1_Original_Data!L204)</f>
        <v>4.6</v>
      </c>
    </row>
    <row r="206" customFormat="false" ht="15" hidden="false" customHeight="false" outlineLevel="0" collapsed="false">
      <c r="A206" s="6" t="str">
        <f aca="false">Sheet1_Original_Data!A205</f>
        <v>STR-1051</v>
      </c>
      <c r="B206" s="6" t="str">
        <f aca="false">Sheet1_Original_Data!B205</f>
        <v>2025-02-01</v>
      </c>
      <c r="C206" s="6" t="str">
        <f aca="false">Sheet1_Original_Data!C205</f>
        <v>East</v>
      </c>
      <c r="D206" s="6" t="str">
        <f aca="false">Sheet1_Original_Data!D205</f>
        <v>Airport</v>
      </c>
      <c r="E206" s="6" t="n">
        <f aca="false">Sheet1_Original_Data!E205</f>
        <v>78111.97</v>
      </c>
      <c r="F206" s="6" t="n">
        <f aca="false">Sheet1_Original_Data!F205</f>
        <v>6389</v>
      </c>
      <c r="G206" s="6" t="n">
        <f aca="false">Sheet1_Original_Data!G205</f>
        <v>0.15</v>
      </c>
      <c r="H206" s="6" t="n">
        <f aca="false">Sheet1_Original_Data!H205</f>
        <v>13</v>
      </c>
      <c r="I206" s="6" t="n">
        <f aca="false">Sheet1_Original_Data!I205</f>
        <v>83.9</v>
      </c>
      <c r="J206" s="6" t="n">
        <f aca="false">Sheet1_Original_Data!J205</f>
        <v>3.05</v>
      </c>
      <c r="K206" s="6" t="n">
        <f aca="false">Sheet1_Original_Data!K205</f>
        <v>0</v>
      </c>
      <c r="L206" s="6" t="n">
        <f aca="false">Sheet1_Original_Data!L205</f>
        <v>4.8</v>
      </c>
      <c r="M206" s="6" t="n">
        <f aca="false">Sheet1_Original_Data!M205</f>
        <v>787715.51</v>
      </c>
      <c r="N206" s="6" t="n">
        <f aca="false">Sheet1_Original_Data!N205</f>
        <v>128969.62</v>
      </c>
      <c r="O206" s="4" t="n">
        <f aca="false">IF(Sheet1_Original_Data!J205="",MEDIAN(Sheet1_Original_Data!$J$4:$J$323),Sheet1_Original_Data!J205)</f>
        <v>3.05</v>
      </c>
      <c r="P206" s="4" t="n">
        <f aca="false">IF(Sheet1_Original_Data!L205="",MEDIAN(Sheet1_Original_Data!$L$4:$L$323),Sheet1_Original_Data!L205)</f>
        <v>4.8</v>
      </c>
    </row>
    <row r="207" customFormat="false" ht="15" hidden="false" customHeight="false" outlineLevel="0" collapsed="false">
      <c r="A207" s="6" t="str">
        <f aca="false">Sheet1_Original_Data!A206</f>
        <v>STR-1051</v>
      </c>
      <c r="B207" s="6" t="str">
        <f aca="false">Sheet1_Original_Data!B206</f>
        <v>2025-03-01</v>
      </c>
      <c r="C207" s="6" t="str">
        <f aca="false">Sheet1_Original_Data!C206</f>
        <v>East</v>
      </c>
      <c r="D207" s="6" t="str">
        <f aca="false">Sheet1_Original_Data!D206</f>
        <v>Airport</v>
      </c>
      <c r="E207" s="6" t="n">
        <f aca="false">Sheet1_Original_Data!E206</f>
        <v>35203.23</v>
      </c>
      <c r="F207" s="6" t="n">
        <f aca="false">Sheet1_Original_Data!F206</f>
        <v>6896</v>
      </c>
      <c r="G207" s="6" t="n">
        <f aca="false">Sheet1_Original_Data!G206</f>
        <v>0.032</v>
      </c>
      <c r="H207" s="6" t="n">
        <f aca="false">Sheet1_Original_Data!H206</f>
        <v>14</v>
      </c>
      <c r="I207" s="6" t="n">
        <f aca="false">Sheet1_Original_Data!I206</f>
        <v>80.8</v>
      </c>
      <c r="J207" s="6" t="n">
        <f aca="false">Sheet1_Original_Data!J206</f>
        <v>8.44</v>
      </c>
      <c r="K207" s="6" t="n">
        <f aca="false">Sheet1_Original_Data!K206</f>
        <v>1</v>
      </c>
      <c r="L207" s="6" t="n">
        <f aca="false">Sheet1_Original_Data!L206</f>
        <v>5</v>
      </c>
      <c r="M207" s="6" t="n">
        <f aca="false">Sheet1_Original_Data!M206</f>
        <v>607084.92</v>
      </c>
      <c r="N207" s="6" t="n">
        <f aca="false">Sheet1_Original_Data!N206</f>
        <v>98558.49</v>
      </c>
      <c r="O207" s="4" t="n">
        <f aca="false">IF(Sheet1_Original_Data!J206="",MEDIAN(Sheet1_Original_Data!$J$4:$J$323),Sheet1_Original_Data!J206)</f>
        <v>8.44</v>
      </c>
      <c r="P207" s="4" t="n">
        <f aca="false">IF(Sheet1_Original_Data!L206="",MEDIAN(Sheet1_Original_Data!$L$4:$L$323),Sheet1_Original_Data!L206)</f>
        <v>5</v>
      </c>
    </row>
    <row r="208" customFormat="false" ht="15" hidden="false" customHeight="false" outlineLevel="0" collapsed="false">
      <c r="A208" s="6" t="str">
        <f aca="false">Sheet1_Original_Data!A207</f>
        <v>STR-1051</v>
      </c>
      <c r="B208" s="6" t="str">
        <f aca="false">Sheet1_Original_Data!B207</f>
        <v>2025-04-01</v>
      </c>
      <c r="C208" s="6" t="str">
        <f aca="false">Sheet1_Original_Data!C207</f>
        <v>East</v>
      </c>
      <c r="D208" s="6" t="str">
        <f aca="false">Sheet1_Original_Data!D207</f>
        <v>Airport</v>
      </c>
      <c r="E208" s="6" t="n">
        <f aca="false">Sheet1_Original_Data!E207</f>
        <v>64104.28</v>
      </c>
      <c r="F208" s="6" t="n">
        <f aca="false">Sheet1_Original_Data!F207</f>
        <v>6015</v>
      </c>
      <c r="G208" s="6" t="n">
        <f aca="false">Sheet1_Original_Data!G207</f>
        <v>0.127</v>
      </c>
      <c r="H208" s="6" t="n">
        <f aca="false">Sheet1_Original_Data!H207</f>
        <v>15</v>
      </c>
      <c r="I208" s="6" t="n">
        <f aca="false">Sheet1_Original_Data!I207</f>
        <v>88.7</v>
      </c>
      <c r="J208" s="6" t="n">
        <f aca="false">Sheet1_Original_Data!J207</f>
        <v>0.78</v>
      </c>
      <c r="K208" s="6" t="n">
        <f aca="false">Sheet1_Original_Data!K207</f>
        <v>0</v>
      </c>
      <c r="L208" s="6" t="n">
        <f aca="false">Sheet1_Original_Data!L207</f>
        <v>4</v>
      </c>
      <c r="M208" s="6" t="n">
        <f aca="false">Sheet1_Original_Data!M207</f>
        <v>650795.49</v>
      </c>
      <c r="N208" s="6" t="n">
        <f aca="false">Sheet1_Original_Data!N207</f>
        <v>103035.89</v>
      </c>
      <c r="O208" s="4" t="n">
        <f aca="false">IF(Sheet1_Original_Data!J207="",MEDIAN(Sheet1_Original_Data!$J$4:$J$323),Sheet1_Original_Data!J207)</f>
        <v>0.78</v>
      </c>
      <c r="P208" s="4" t="n">
        <f aca="false">IF(Sheet1_Original_Data!L207="",MEDIAN(Sheet1_Original_Data!$L$4:$L$323),Sheet1_Original_Data!L207)</f>
        <v>4</v>
      </c>
    </row>
    <row r="209" customFormat="false" ht="15" hidden="false" customHeight="false" outlineLevel="0" collapsed="false">
      <c r="A209" s="6" t="str">
        <f aca="false">Sheet1_Original_Data!A208</f>
        <v>STR-1052</v>
      </c>
      <c r="B209" s="6" t="str">
        <f aca="false">Sheet1_Original_Data!B208</f>
        <v>2025-01-01</v>
      </c>
      <c r="C209" s="6" t="str">
        <f aca="false">Sheet1_Original_Data!C208</f>
        <v>East</v>
      </c>
      <c r="D209" s="6" t="str">
        <f aca="false">Sheet1_Original_Data!D208</f>
        <v>Mall</v>
      </c>
      <c r="E209" s="6" t="n">
        <f aca="false">Sheet1_Original_Data!E208</f>
        <v>92090.14</v>
      </c>
      <c r="F209" s="6" t="n">
        <f aca="false">Sheet1_Original_Data!F208</f>
        <v>9476</v>
      </c>
      <c r="G209" s="6" t="n">
        <f aca="false">Sheet1_Original_Data!G208</f>
        <v>0.07</v>
      </c>
      <c r="H209" s="6" t="n">
        <f aca="false">Sheet1_Original_Data!H208</f>
        <v>24</v>
      </c>
      <c r="I209" s="6" t="n">
        <f aca="false">Sheet1_Original_Data!I208</f>
        <v>94.3</v>
      </c>
      <c r="J209" s="6" t="n">
        <f aca="false">Sheet1_Original_Data!J208</f>
        <v>0.87</v>
      </c>
      <c r="K209" s="6" t="n">
        <f aca="false">Sheet1_Original_Data!K208</f>
        <v>0</v>
      </c>
      <c r="L209" s="6" t="n">
        <f aca="false">Sheet1_Original_Data!L208</f>
        <v>3.7</v>
      </c>
      <c r="M209" s="6" t="n">
        <f aca="false">Sheet1_Original_Data!M208</f>
        <v>825060.52</v>
      </c>
      <c r="N209" s="6" t="n">
        <f aca="false">Sheet1_Original_Data!N208</f>
        <v>143613.15</v>
      </c>
      <c r="O209" s="4" t="n">
        <f aca="false">IF(Sheet1_Original_Data!J208="",MEDIAN(Sheet1_Original_Data!$J$4:$J$323),Sheet1_Original_Data!J208)</f>
        <v>0.87</v>
      </c>
      <c r="P209" s="4" t="n">
        <f aca="false">IF(Sheet1_Original_Data!L208="",MEDIAN(Sheet1_Original_Data!$L$4:$L$323),Sheet1_Original_Data!L208)</f>
        <v>3.7</v>
      </c>
    </row>
    <row r="210" customFormat="false" ht="15" hidden="false" customHeight="false" outlineLevel="0" collapsed="false">
      <c r="A210" s="6" t="str">
        <f aca="false">Sheet1_Original_Data!A209</f>
        <v>STR-1052</v>
      </c>
      <c r="B210" s="6" t="str">
        <f aca="false">Sheet1_Original_Data!B209</f>
        <v>2025-02-01</v>
      </c>
      <c r="C210" s="6" t="str">
        <f aca="false">Sheet1_Original_Data!C209</f>
        <v>East</v>
      </c>
      <c r="D210" s="6" t="str">
        <f aca="false">Sheet1_Original_Data!D209</f>
        <v>Mall</v>
      </c>
      <c r="E210" s="6" t="n">
        <f aca="false">Sheet1_Original_Data!E209</f>
        <v>54300.87</v>
      </c>
      <c r="F210" s="6" t="n">
        <f aca="false">Sheet1_Original_Data!F209</f>
        <v>7875</v>
      </c>
      <c r="G210" s="6" t="n">
        <f aca="false">Sheet1_Original_Data!G209</f>
        <v>0.107</v>
      </c>
      <c r="H210" s="6" t="n">
        <f aca="false">Sheet1_Original_Data!H209</f>
        <v>19</v>
      </c>
      <c r="I210" s="6" t="n">
        <f aca="false">Sheet1_Original_Data!I209</f>
        <v>94.1</v>
      </c>
      <c r="J210" s="6" t="n">
        <f aca="false">Sheet1_Original_Data!J209</f>
        <v>0.95</v>
      </c>
      <c r="K210" s="6" t="n">
        <f aca="false">Sheet1_Original_Data!K209</f>
        <v>0</v>
      </c>
      <c r="L210" s="6" t="n">
        <f aca="false">Sheet1_Original_Data!L209</f>
        <v>3.7</v>
      </c>
      <c r="M210" s="6" t="n">
        <f aca="false">Sheet1_Original_Data!M209</f>
        <v>795464.47</v>
      </c>
      <c r="N210" s="6" t="n">
        <f aca="false">Sheet1_Original_Data!N209</f>
        <v>161150.52</v>
      </c>
      <c r="O210" s="4" t="n">
        <f aca="false">IF(Sheet1_Original_Data!J209="",MEDIAN(Sheet1_Original_Data!$J$4:$J$323),Sheet1_Original_Data!J209)</f>
        <v>0.95</v>
      </c>
      <c r="P210" s="4" t="n">
        <f aca="false">IF(Sheet1_Original_Data!L209="",MEDIAN(Sheet1_Original_Data!$L$4:$L$323),Sheet1_Original_Data!L209)</f>
        <v>3.7</v>
      </c>
    </row>
    <row r="211" customFormat="false" ht="15" hidden="false" customHeight="false" outlineLevel="0" collapsed="false">
      <c r="A211" s="6" t="str">
        <f aca="false">Sheet1_Original_Data!A210</f>
        <v>STR-1052</v>
      </c>
      <c r="B211" s="6" t="str">
        <f aca="false">Sheet1_Original_Data!B210</f>
        <v>2025-03-01</v>
      </c>
      <c r="C211" s="6" t="str">
        <f aca="false">Sheet1_Original_Data!C210</f>
        <v>East</v>
      </c>
      <c r="D211" s="6" t="str">
        <f aca="false">Sheet1_Original_Data!D210</f>
        <v>Mall</v>
      </c>
      <c r="E211" s="6" t="n">
        <f aca="false">Sheet1_Original_Data!E210</f>
        <v>37983.35</v>
      </c>
      <c r="F211" s="6" t="n">
        <f aca="false">Sheet1_Original_Data!F210</f>
        <v>9283</v>
      </c>
      <c r="G211" s="6" t="n">
        <f aca="false">Sheet1_Original_Data!G210</f>
        <v>0.149</v>
      </c>
      <c r="H211" s="6" t="n">
        <f aca="false">Sheet1_Original_Data!H210</f>
        <v>19</v>
      </c>
      <c r="I211" s="6" t="n">
        <f aca="false">Sheet1_Original_Data!I210</f>
        <v>83.2</v>
      </c>
      <c r="J211" s="6" t="n">
        <f aca="false">Sheet1_Original_Data!J210</f>
        <v>3.82</v>
      </c>
      <c r="K211" s="6" t="n">
        <f aca="false">Sheet1_Original_Data!K210</f>
        <v>0</v>
      </c>
      <c r="L211" s="6" t="n">
        <f aca="false">Sheet1_Original_Data!L210</f>
        <v>3.7</v>
      </c>
      <c r="M211" s="6" t="n">
        <f aca="false">Sheet1_Original_Data!M210</f>
        <v>671868.59</v>
      </c>
      <c r="N211" s="6" t="n">
        <f aca="false">Sheet1_Original_Data!N210</f>
        <v>71003.28</v>
      </c>
      <c r="O211" s="4" t="n">
        <f aca="false">IF(Sheet1_Original_Data!J210="",MEDIAN(Sheet1_Original_Data!$J$4:$J$323),Sheet1_Original_Data!J210)</f>
        <v>3.82</v>
      </c>
      <c r="P211" s="4" t="n">
        <f aca="false">IF(Sheet1_Original_Data!L210="",MEDIAN(Sheet1_Original_Data!$L$4:$L$323),Sheet1_Original_Data!L210)</f>
        <v>3.7</v>
      </c>
    </row>
    <row r="212" customFormat="false" ht="15" hidden="false" customHeight="false" outlineLevel="0" collapsed="false">
      <c r="A212" s="6" t="str">
        <f aca="false">Sheet1_Original_Data!A211</f>
        <v>STR-1052</v>
      </c>
      <c r="B212" s="6" t="str">
        <f aca="false">Sheet1_Original_Data!B211</f>
        <v>2025-04-01</v>
      </c>
      <c r="C212" s="6" t="str">
        <f aca="false">Sheet1_Original_Data!C211</f>
        <v>East</v>
      </c>
      <c r="D212" s="6" t="str">
        <f aca="false">Sheet1_Original_Data!D211</f>
        <v>Mall</v>
      </c>
      <c r="E212" s="6" t="n">
        <f aca="false">Sheet1_Original_Data!E211</f>
        <v>56413.83</v>
      </c>
      <c r="F212" s="6" t="n">
        <f aca="false">Sheet1_Original_Data!F211</f>
        <v>8303</v>
      </c>
      <c r="G212" s="6" t="n">
        <f aca="false">Sheet1_Original_Data!G211</f>
        <v>0.116</v>
      </c>
      <c r="H212" s="6" t="n">
        <f aca="false">Sheet1_Original_Data!H211</f>
        <v>18</v>
      </c>
      <c r="I212" s="6" t="n">
        <f aca="false">Sheet1_Original_Data!I211</f>
        <v>93.6</v>
      </c>
      <c r="J212" s="6" t="n">
        <f aca="false">Sheet1_Original_Data!J211</f>
        <v>2.7</v>
      </c>
      <c r="K212" s="6" t="n">
        <f aca="false">Sheet1_Original_Data!K211</f>
        <v>0</v>
      </c>
      <c r="L212" s="6" t="n">
        <f aca="false">Sheet1_Original_Data!L211</f>
        <v>3.7</v>
      </c>
      <c r="M212" s="6" t="n">
        <f aca="false">Sheet1_Original_Data!M211</f>
        <v>675917.63</v>
      </c>
      <c r="N212" s="6" t="n">
        <f aca="false">Sheet1_Original_Data!N211</f>
        <v>112564.75</v>
      </c>
      <c r="O212" s="4" t="n">
        <f aca="false">IF(Sheet1_Original_Data!J211="",MEDIAN(Sheet1_Original_Data!$J$4:$J$323),Sheet1_Original_Data!J211)</f>
        <v>2.7</v>
      </c>
      <c r="P212" s="4" t="n">
        <f aca="false">IF(Sheet1_Original_Data!L211="",MEDIAN(Sheet1_Original_Data!$L$4:$L$323),Sheet1_Original_Data!L211)</f>
        <v>3.7</v>
      </c>
    </row>
    <row r="213" customFormat="false" ht="15" hidden="false" customHeight="false" outlineLevel="0" collapsed="false">
      <c r="A213" s="6" t="str">
        <f aca="false">Sheet1_Original_Data!A212</f>
        <v>STR-1053</v>
      </c>
      <c r="B213" s="6" t="str">
        <f aca="false">Sheet1_Original_Data!B212</f>
        <v>2025-01-01</v>
      </c>
      <c r="C213" s="6" t="str">
        <f aca="false">Sheet1_Original_Data!C212</f>
        <v>East</v>
      </c>
      <c r="D213" s="6" t="str">
        <f aca="false">Sheet1_Original_Data!D212</f>
        <v>High Street</v>
      </c>
      <c r="E213" s="6" t="n">
        <f aca="false">Sheet1_Original_Data!E212</f>
        <v>63457.19</v>
      </c>
      <c r="F213" s="6" t="n">
        <f aca="false">Sheet1_Original_Data!F212</f>
        <v>10125</v>
      </c>
      <c r="G213" s="6" t="n">
        <f aca="false">Sheet1_Original_Data!G212</f>
        <v>0.097</v>
      </c>
      <c r="H213" s="6" t="n">
        <f aca="false">Sheet1_Original_Data!H212</f>
        <v>24</v>
      </c>
      <c r="I213" s="6" t="n">
        <f aca="false">Sheet1_Original_Data!I212</f>
        <v>87</v>
      </c>
      <c r="J213" s="6" t="n">
        <f aca="false">Sheet1_Original_Data!J212</f>
        <v>3.84</v>
      </c>
      <c r="K213" s="6" t="n">
        <f aca="false">Sheet1_Original_Data!K212</f>
        <v>1</v>
      </c>
      <c r="L213" s="6" t="n">
        <f aca="false">Sheet1_Original_Data!L212</f>
        <v>3.7</v>
      </c>
      <c r="M213" s="6" t="n">
        <f aca="false">Sheet1_Original_Data!M212</f>
        <v>810446.53</v>
      </c>
      <c r="N213" s="6" t="n">
        <f aca="false">Sheet1_Original_Data!N212</f>
        <v>200575.34</v>
      </c>
      <c r="O213" s="4" t="n">
        <f aca="false">IF(Sheet1_Original_Data!J212="",MEDIAN(Sheet1_Original_Data!$J$4:$J$323),Sheet1_Original_Data!J212)</f>
        <v>3.84</v>
      </c>
      <c r="P213" s="4" t="n">
        <f aca="false">IF(Sheet1_Original_Data!L212="",MEDIAN(Sheet1_Original_Data!$L$4:$L$323),Sheet1_Original_Data!L212)</f>
        <v>3.7</v>
      </c>
    </row>
    <row r="214" customFormat="false" ht="15" hidden="false" customHeight="false" outlineLevel="0" collapsed="false">
      <c r="A214" s="6" t="str">
        <f aca="false">Sheet1_Original_Data!A213</f>
        <v>STR-1053</v>
      </c>
      <c r="B214" s="6" t="str">
        <f aca="false">Sheet1_Original_Data!B213</f>
        <v>2025-02-01</v>
      </c>
      <c r="C214" s="6" t="str">
        <f aca="false">Sheet1_Original_Data!C213</f>
        <v>East</v>
      </c>
      <c r="D214" s="6" t="str">
        <f aca="false">Sheet1_Original_Data!D213</f>
        <v>High Street</v>
      </c>
      <c r="E214" s="6" t="n">
        <f aca="false">Sheet1_Original_Data!E213</f>
        <v>62949.7</v>
      </c>
      <c r="F214" s="6" t="n">
        <f aca="false">Sheet1_Original_Data!F213</f>
        <v>9458</v>
      </c>
      <c r="G214" s="6" t="n">
        <f aca="false">Sheet1_Original_Data!G213</f>
        <v>0.171</v>
      </c>
      <c r="H214" s="6" t="n">
        <f aca="false">Sheet1_Original_Data!H213</f>
        <v>19</v>
      </c>
      <c r="I214" s="6" t="n">
        <f aca="false">Sheet1_Original_Data!I213</f>
        <v>84.9</v>
      </c>
      <c r="J214" s="6" t="n">
        <f aca="false">Sheet1_Original_Data!J213</f>
        <v>5.09</v>
      </c>
      <c r="K214" s="6" t="n">
        <f aca="false">Sheet1_Original_Data!K213</f>
        <v>0</v>
      </c>
      <c r="L214" s="6" t="n">
        <f aca="false">Sheet1_Original_Data!L213</f>
        <v>3.3</v>
      </c>
      <c r="M214" s="6" t="n">
        <f aca="false">Sheet1_Original_Data!M213</f>
        <v>691288.19</v>
      </c>
      <c r="N214" s="6" t="n">
        <f aca="false">Sheet1_Original_Data!N213</f>
        <v>159074.14</v>
      </c>
      <c r="O214" s="4" t="n">
        <f aca="false">IF(Sheet1_Original_Data!J213="",MEDIAN(Sheet1_Original_Data!$J$4:$J$323),Sheet1_Original_Data!J213)</f>
        <v>5.09</v>
      </c>
      <c r="P214" s="4" t="n">
        <f aca="false">IF(Sheet1_Original_Data!L213="",MEDIAN(Sheet1_Original_Data!$L$4:$L$323),Sheet1_Original_Data!L213)</f>
        <v>3.3</v>
      </c>
    </row>
    <row r="215" customFormat="false" ht="15" hidden="false" customHeight="false" outlineLevel="0" collapsed="false">
      <c r="A215" s="6" t="str">
        <f aca="false">Sheet1_Original_Data!A214</f>
        <v>STR-1053</v>
      </c>
      <c r="B215" s="6" t="str">
        <f aca="false">Sheet1_Original_Data!B214</f>
        <v>2025-03-01</v>
      </c>
      <c r="C215" s="6" t="str">
        <f aca="false">Sheet1_Original_Data!C214</f>
        <v>East</v>
      </c>
      <c r="D215" s="6" t="str">
        <f aca="false">Sheet1_Original_Data!D214</f>
        <v>High Street</v>
      </c>
      <c r="E215" s="6" t="n">
        <f aca="false">Sheet1_Original_Data!E214</f>
        <v>107970.19</v>
      </c>
      <c r="F215" s="6" t="n">
        <f aca="false">Sheet1_Original_Data!F214</f>
        <v>12870</v>
      </c>
      <c r="G215" s="6" t="n">
        <f aca="false">Sheet1_Original_Data!G214</f>
        <v>0.029</v>
      </c>
      <c r="H215" s="6" t="n">
        <f aca="false">Sheet1_Original_Data!H214</f>
        <v>31</v>
      </c>
      <c r="I215" s="6" t="n">
        <f aca="false">Sheet1_Original_Data!I214</f>
        <v>91.7</v>
      </c>
      <c r="J215" s="6" t="n">
        <f aca="false">Sheet1_Original_Data!J214</f>
        <v>3.82</v>
      </c>
      <c r="K215" s="6" t="n">
        <f aca="false">Sheet1_Original_Data!K214</f>
        <v>1</v>
      </c>
      <c r="L215" s="6" t="n">
        <f aca="false">Sheet1_Original_Data!L214</f>
        <v>3.7</v>
      </c>
      <c r="M215" s="6" t="n">
        <f aca="false">Sheet1_Original_Data!M214</f>
        <v>946833.54</v>
      </c>
      <c r="N215" s="6" t="n">
        <f aca="false">Sheet1_Original_Data!N214</f>
        <v>184540.31</v>
      </c>
      <c r="O215" s="4" t="n">
        <f aca="false">IF(Sheet1_Original_Data!J214="",MEDIAN(Sheet1_Original_Data!$J$4:$J$323),Sheet1_Original_Data!J214)</f>
        <v>3.82</v>
      </c>
      <c r="P215" s="4" t="n">
        <f aca="false">IF(Sheet1_Original_Data!L214="",MEDIAN(Sheet1_Original_Data!$L$4:$L$323),Sheet1_Original_Data!L214)</f>
        <v>3.7</v>
      </c>
    </row>
    <row r="216" customFormat="false" ht="15" hidden="false" customHeight="false" outlineLevel="0" collapsed="false">
      <c r="A216" s="6" t="str">
        <f aca="false">Sheet1_Original_Data!A215</f>
        <v>STR-1053</v>
      </c>
      <c r="B216" s="6" t="str">
        <f aca="false">Sheet1_Original_Data!B215</f>
        <v>2025-04-01</v>
      </c>
      <c r="C216" s="6" t="str">
        <f aca="false">Sheet1_Original_Data!C215</f>
        <v>East</v>
      </c>
      <c r="D216" s="6" t="str">
        <f aca="false">Sheet1_Original_Data!D215</f>
        <v>High Street</v>
      </c>
      <c r="E216" s="6" t="n">
        <f aca="false">Sheet1_Original_Data!E215</f>
        <v>49405.75</v>
      </c>
      <c r="F216" s="6" t="n">
        <f aca="false">Sheet1_Original_Data!F215</f>
        <v>9752</v>
      </c>
      <c r="G216" s="6" t="n">
        <f aca="false">Sheet1_Original_Data!G215</f>
        <v>0.093</v>
      </c>
      <c r="H216" s="6" t="n">
        <f aca="false">Sheet1_Original_Data!H215</f>
        <v>21</v>
      </c>
      <c r="I216" s="6" t="n">
        <f aca="false">Sheet1_Original_Data!I215</f>
        <v>87</v>
      </c>
      <c r="J216" s="6" t="n">
        <f aca="false">Sheet1_Original_Data!J215</f>
        <v>12.28</v>
      </c>
      <c r="K216" s="6" t="n">
        <f aca="false">Sheet1_Original_Data!K215</f>
        <v>0</v>
      </c>
      <c r="L216" s="6" t="n">
        <f aca="false">Sheet1_Original_Data!L215</f>
        <v>4.1</v>
      </c>
      <c r="M216" s="6" t="n">
        <f aca="false">Sheet1_Original_Data!M215</f>
        <v>761963.23</v>
      </c>
      <c r="N216" s="6" t="n">
        <f aca="false">Sheet1_Original_Data!N215</f>
        <v>150113.61</v>
      </c>
      <c r="O216" s="4" t="n">
        <f aca="false">IF(Sheet1_Original_Data!J215="",MEDIAN(Sheet1_Original_Data!$J$4:$J$323),Sheet1_Original_Data!J215)</f>
        <v>12.28</v>
      </c>
      <c r="P216" s="4" t="n">
        <f aca="false">IF(Sheet1_Original_Data!L215="",MEDIAN(Sheet1_Original_Data!$L$4:$L$323),Sheet1_Original_Data!L215)</f>
        <v>4.1</v>
      </c>
    </row>
    <row r="217" customFormat="false" ht="15" hidden="false" customHeight="false" outlineLevel="0" collapsed="false">
      <c r="A217" s="6" t="str">
        <f aca="false">Sheet1_Original_Data!A216</f>
        <v>STR-1054</v>
      </c>
      <c r="B217" s="6" t="str">
        <f aca="false">Sheet1_Original_Data!B216</f>
        <v>2025-01-01</v>
      </c>
      <c r="C217" s="6" t="str">
        <f aca="false">Sheet1_Original_Data!C216</f>
        <v>West</v>
      </c>
      <c r="D217" s="6" t="str">
        <f aca="false">Sheet1_Original_Data!D216</f>
        <v>Residential</v>
      </c>
      <c r="E217" s="6" t="n">
        <f aca="false">Sheet1_Original_Data!E216</f>
        <v>50887.46</v>
      </c>
      <c r="F217" s="6" t="n">
        <f aca="false">Sheet1_Original_Data!F216</f>
        <v>9505</v>
      </c>
      <c r="G217" s="6" t="n">
        <f aca="false">Sheet1_Original_Data!G216</f>
        <v>0.091</v>
      </c>
      <c r="H217" s="6" t="n">
        <f aca="false">Sheet1_Original_Data!H216</f>
        <v>25</v>
      </c>
      <c r="I217" s="6" t="n">
        <f aca="false">Sheet1_Original_Data!I216</f>
        <v>89.7</v>
      </c>
      <c r="J217" s="6" t="n">
        <f aca="false">Sheet1_Original_Data!J216</f>
        <v>2.8</v>
      </c>
      <c r="K217" s="6" t="n">
        <f aca="false">Sheet1_Original_Data!K216</f>
        <v>0</v>
      </c>
      <c r="L217" s="6" t="n">
        <f aca="false">Sheet1_Original_Data!L216</f>
        <v>4.3</v>
      </c>
      <c r="M217" s="6" t="n">
        <f aca="false">Sheet1_Original_Data!M216</f>
        <v>812152.6</v>
      </c>
      <c r="N217" s="6" t="n">
        <f aca="false">Sheet1_Original_Data!N216</f>
        <v>138419.43</v>
      </c>
      <c r="O217" s="4" t="n">
        <f aca="false">IF(Sheet1_Original_Data!J216="",MEDIAN(Sheet1_Original_Data!$J$4:$J$323),Sheet1_Original_Data!J216)</f>
        <v>2.8</v>
      </c>
      <c r="P217" s="4" t="n">
        <f aca="false">IF(Sheet1_Original_Data!L216="",MEDIAN(Sheet1_Original_Data!$L$4:$L$323),Sheet1_Original_Data!L216)</f>
        <v>4.3</v>
      </c>
    </row>
    <row r="218" customFormat="false" ht="15" hidden="false" customHeight="false" outlineLevel="0" collapsed="false">
      <c r="A218" s="6" t="str">
        <f aca="false">Sheet1_Original_Data!A217</f>
        <v>STR-1054</v>
      </c>
      <c r="B218" s="6" t="str">
        <f aca="false">Sheet1_Original_Data!B217</f>
        <v>2025-02-01</v>
      </c>
      <c r="C218" s="6" t="str">
        <f aca="false">Sheet1_Original_Data!C217</f>
        <v>West</v>
      </c>
      <c r="D218" s="6" t="str">
        <f aca="false">Sheet1_Original_Data!D217</f>
        <v>Residential</v>
      </c>
      <c r="E218" s="6" t="n">
        <f aca="false">Sheet1_Original_Data!E217</f>
        <v>41819.45</v>
      </c>
      <c r="F218" s="6" t="n">
        <f aca="false">Sheet1_Original_Data!F217</f>
        <v>9412</v>
      </c>
      <c r="G218" s="6" t="n">
        <f aca="false">Sheet1_Original_Data!G217</f>
        <v>0.15</v>
      </c>
      <c r="H218" s="6" t="n">
        <f aca="false">Sheet1_Original_Data!H217</f>
        <v>22</v>
      </c>
      <c r="I218" s="6" t="n">
        <f aca="false">Sheet1_Original_Data!I217</f>
        <v>91</v>
      </c>
      <c r="J218" s="6" t="n">
        <f aca="false">Sheet1_Original_Data!J217</f>
        <v>3.67</v>
      </c>
      <c r="K218" s="6" t="n">
        <f aca="false">Sheet1_Original_Data!K217</f>
        <v>0</v>
      </c>
      <c r="L218" s="6" t="n">
        <f aca="false">Sheet1_Original_Data!L217</f>
        <v>4.2</v>
      </c>
      <c r="M218" s="6" t="n">
        <f aca="false">Sheet1_Original_Data!M217</f>
        <v>804975.5</v>
      </c>
      <c r="N218" s="6" t="n">
        <f aca="false">Sheet1_Original_Data!N217</f>
        <v>140054.5</v>
      </c>
      <c r="O218" s="4" t="n">
        <f aca="false">IF(Sheet1_Original_Data!J217="",MEDIAN(Sheet1_Original_Data!$J$4:$J$323),Sheet1_Original_Data!J217)</f>
        <v>3.67</v>
      </c>
      <c r="P218" s="4" t="n">
        <f aca="false">IF(Sheet1_Original_Data!L217="",MEDIAN(Sheet1_Original_Data!$L$4:$L$323),Sheet1_Original_Data!L217)</f>
        <v>4.2</v>
      </c>
    </row>
    <row r="219" customFormat="false" ht="15" hidden="false" customHeight="false" outlineLevel="0" collapsed="false">
      <c r="A219" s="6" t="str">
        <f aca="false">Sheet1_Original_Data!A218</f>
        <v>STR-1054</v>
      </c>
      <c r="B219" s="6" t="str">
        <f aca="false">Sheet1_Original_Data!B218</f>
        <v>2025-03-01</v>
      </c>
      <c r="C219" s="6" t="str">
        <f aca="false">Sheet1_Original_Data!C218</f>
        <v>West</v>
      </c>
      <c r="D219" s="6" t="str">
        <f aca="false">Sheet1_Original_Data!D218</f>
        <v>Residential</v>
      </c>
      <c r="E219" s="6" t="n">
        <f aca="false">Sheet1_Original_Data!E218</f>
        <v>35296.54</v>
      </c>
      <c r="F219" s="6" t="n">
        <f aca="false">Sheet1_Original_Data!F218</f>
        <v>9644</v>
      </c>
      <c r="G219" s="6" t="n">
        <f aca="false">Sheet1_Original_Data!G218</f>
        <v>0</v>
      </c>
      <c r="H219" s="6" t="n">
        <f aca="false">Sheet1_Original_Data!H218</f>
        <v>22</v>
      </c>
      <c r="I219" s="6" t="n">
        <f aca="false">Sheet1_Original_Data!I218</f>
        <v>88</v>
      </c>
      <c r="J219" s="6" t="n">
        <f aca="false">Sheet1_Original_Data!J218</f>
        <v>2.81</v>
      </c>
      <c r="K219" s="6" t="n">
        <f aca="false">Sheet1_Original_Data!K218</f>
        <v>0</v>
      </c>
      <c r="L219" s="6" t="n">
        <f aca="false">Sheet1_Original_Data!L218</f>
        <v>4.7</v>
      </c>
      <c r="M219" s="6" t="n">
        <f aca="false">Sheet1_Original_Data!M218</f>
        <v>752321.72</v>
      </c>
      <c r="N219" s="6" t="n">
        <f aca="false">Sheet1_Original_Data!N218</f>
        <v>137788.51</v>
      </c>
      <c r="O219" s="4" t="n">
        <f aca="false">IF(Sheet1_Original_Data!J218="",MEDIAN(Sheet1_Original_Data!$J$4:$J$323),Sheet1_Original_Data!J218)</f>
        <v>2.81</v>
      </c>
      <c r="P219" s="4" t="n">
        <f aca="false">IF(Sheet1_Original_Data!L218="",MEDIAN(Sheet1_Original_Data!$L$4:$L$323),Sheet1_Original_Data!L218)</f>
        <v>4.7</v>
      </c>
    </row>
    <row r="220" customFormat="false" ht="15" hidden="false" customHeight="false" outlineLevel="0" collapsed="false">
      <c r="A220" s="6" t="str">
        <f aca="false">Sheet1_Original_Data!A219</f>
        <v>STR-1054</v>
      </c>
      <c r="B220" s="6" t="str">
        <f aca="false">Sheet1_Original_Data!B219</f>
        <v>2025-04-01</v>
      </c>
      <c r="C220" s="6" t="str">
        <f aca="false">Sheet1_Original_Data!C219</f>
        <v>West</v>
      </c>
      <c r="D220" s="6" t="str">
        <f aca="false">Sheet1_Original_Data!D219</f>
        <v>Residential</v>
      </c>
      <c r="E220" s="6" t="n">
        <f aca="false">Sheet1_Original_Data!E219</f>
        <v>47391.09</v>
      </c>
      <c r="F220" s="6" t="n">
        <f aca="false">Sheet1_Original_Data!F219</f>
        <v>11224</v>
      </c>
      <c r="G220" s="6" t="n">
        <f aca="false">Sheet1_Original_Data!G219</f>
        <v>0.147</v>
      </c>
      <c r="H220" s="6" t="n">
        <f aca="false">Sheet1_Original_Data!H219</f>
        <v>25</v>
      </c>
      <c r="I220" s="6" t="n">
        <f aca="false">Sheet1_Original_Data!I219</f>
        <v>88.4</v>
      </c>
      <c r="J220" s="6" t="n">
        <f aca="false">Sheet1_Original_Data!J219</f>
        <v>2.44</v>
      </c>
      <c r="K220" s="6" t="n">
        <f aca="false">Sheet1_Original_Data!K219</f>
        <v>0</v>
      </c>
      <c r="L220" s="6" t="n">
        <f aca="false">Sheet1_Original_Data!L219</f>
        <v>4.9</v>
      </c>
      <c r="M220" s="6" t="n">
        <f aca="false">Sheet1_Original_Data!M219</f>
        <v>836908.24</v>
      </c>
      <c r="N220" s="6" t="n">
        <f aca="false">Sheet1_Original_Data!N219</f>
        <v>141090.26</v>
      </c>
      <c r="O220" s="4" t="n">
        <f aca="false">IF(Sheet1_Original_Data!J219="",MEDIAN(Sheet1_Original_Data!$J$4:$J$323),Sheet1_Original_Data!J219)</f>
        <v>2.44</v>
      </c>
      <c r="P220" s="4" t="n">
        <f aca="false">IF(Sheet1_Original_Data!L219="",MEDIAN(Sheet1_Original_Data!$L$4:$L$323),Sheet1_Original_Data!L219)</f>
        <v>4.9</v>
      </c>
    </row>
    <row r="221" customFormat="false" ht="15" hidden="false" customHeight="false" outlineLevel="0" collapsed="false">
      <c r="A221" s="6" t="str">
        <f aca="false">Sheet1_Original_Data!A220</f>
        <v>STR-1055</v>
      </c>
      <c r="B221" s="6" t="str">
        <f aca="false">Sheet1_Original_Data!B220</f>
        <v>2025-01-01</v>
      </c>
      <c r="C221" s="6" t="str">
        <f aca="false">Sheet1_Original_Data!C220</f>
        <v>North</v>
      </c>
      <c r="D221" s="6" t="str">
        <f aca="false">Sheet1_Original_Data!D220</f>
        <v>Airport</v>
      </c>
      <c r="E221" s="6" t="n">
        <f aca="false">Sheet1_Original_Data!E220</f>
        <v>69180.54</v>
      </c>
      <c r="F221" s="6" t="n">
        <f aca="false">Sheet1_Original_Data!F220</f>
        <v>5394</v>
      </c>
      <c r="G221" s="6" t="n">
        <f aca="false">Sheet1_Original_Data!G220</f>
        <v>0.126</v>
      </c>
      <c r="H221" s="6" t="n">
        <f aca="false">Sheet1_Original_Data!H220</f>
        <v>12</v>
      </c>
      <c r="I221" s="6" t="n">
        <f aca="false">Sheet1_Original_Data!I220</f>
        <v>82.9</v>
      </c>
      <c r="J221" s="6" t="n">
        <f aca="false">Sheet1_Original_Data!J220</f>
        <v>3.27</v>
      </c>
      <c r="K221" s="6" t="n">
        <f aca="false">Sheet1_Original_Data!K220</f>
        <v>0</v>
      </c>
      <c r="L221" s="6" t="n">
        <f aca="false">Sheet1_Original_Data!L220</f>
        <v>3.3</v>
      </c>
      <c r="M221" s="6" t="n">
        <f aca="false">Sheet1_Original_Data!M220</f>
        <v>674289.1</v>
      </c>
      <c r="N221" s="6" t="n">
        <f aca="false">Sheet1_Original_Data!N220</f>
        <v>117773.79</v>
      </c>
      <c r="O221" s="4" t="n">
        <f aca="false">IF(Sheet1_Original_Data!J220="",MEDIAN(Sheet1_Original_Data!$J$4:$J$323),Sheet1_Original_Data!J220)</f>
        <v>3.27</v>
      </c>
      <c r="P221" s="4" t="n">
        <f aca="false">IF(Sheet1_Original_Data!L220="",MEDIAN(Sheet1_Original_Data!$L$4:$L$323),Sheet1_Original_Data!L220)</f>
        <v>3.3</v>
      </c>
    </row>
    <row r="222" customFormat="false" ht="15" hidden="false" customHeight="false" outlineLevel="0" collapsed="false">
      <c r="A222" s="6" t="str">
        <f aca="false">Sheet1_Original_Data!A221</f>
        <v>STR-1055</v>
      </c>
      <c r="B222" s="6" t="str">
        <f aca="false">Sheet1_Original_Data!B221</f>
        <v>2025-02-01</v>
      </c>
      <c r="C222" s="6" t="str">
        <f aca="false">Sheet1_Original_Data!C221</f>
        <v>North</v>
      </c>
      <c r="D222" s="6" t="str">
        <f aca="false">Sheet1_Original_Data!D221</f>
        <v>Airport</v>
      </c>
      <c r="E222" s="6" t="n">
        <f aca="false">Sheet1_Original_Data!E221</f>
        <v>33987.33</v>
      </c>
      <c r="F222" s="6" t="n">
        <f aca="false">Sheet1_Original_Data!F221</f>
        <v>5014</v>
      </c>
      <c r="G222" s="6" t="n">
        <f aca="false">Sheet1_Original_Data!G221</f>
        <v>0.246</v>
      </c>
      <c r="H222" s="6" t="n">
        <f aca="false">Sheet1_Original_Data!H221</f>
        <v>17</v>
      </c>
      <c r="I222" s="6" t="n">
        <f aca="false">Sheet1_Original_Data!I221</f>
        <v>94.3</v>
      </c>
      <c r="J222" s="6" t="n">
        <f aca="false">Sheet1_Original_Data!J221</f>
        <v>10.34</v>
      </c>
      <c r="K222" s="6" t="n">
        <f aca="false">Sheet1_Original_Data!K221</f>
        <v>0</v>
      </c>
      <c r="L222" s="6" t="n">
        <f aca="false">Sheet1_Original_Data!L221</f>
        <v>3.9</v>
      </c>
      <c r="M222" s="6" t="n">
        <f aca="false">Sheet1_Original_Data!M221</f>
        <v>622892.42</v>
      </c>
      <c r="N222" s="6" t="n">
        <f aca="false">Sheet1_Original_Data!N221</f>
        <v>101032.52</v>
      </c>
      <c r="O222" s="4" t="n">
        <f aca="false">IF(Sheet1_Original_Data!J221="",MEDIAN(Sheet1_Original_Data!$J$4:$J$323),Sheet1_Original_Data!J221)</f>
        <v>10.34</v>
      </c>
      <c r="P222" s="4" t="n">
        <f aca="false">IF(Sheet1_Original_Data!L221="",MEDIAN(Sheet1_Original_Data!$L$4:$L$323),Sheet1_Original_Data!L221)</f>
        <v>3.9</v>
      </c>
    </row>
    <row r="223" customFormat="false" ht="15" hidden="false" customHeight="false" outlineLevel="0" collapsed="false">
      <c r="A223" s="6" t="str">
        <f aca="false">Sheet1_Original_Data!A222</f>
        <v>STR-1055</v>
      </c>
      <c r="B223" s="6" t="str">
        <f aca="false">Sheet1_Original_Data!B222</f>
        <v>2025-03-01</v>
      </c>
      <c r="C223" s="6" t="str">
        <f aca="false">Sheet1_Original_Data!C222</f>
        <v>North</v>
      </c>
      <c r="D223" s="6" t="str">
        <f aca="false">Sheet1_Original_Data!D222</f>
        <v>Airport</v>
      </c>
      <c r="E223" s="6" t="n">
        <f aca="false">Sheet1_Original_Data!E222</f>
        <v>58785.33</v>
      </c>
      <c r="F223" s="6" t="n">
        <f aca="false">Sheet1_Original_Data!F222</f>
        <v>4467</v>
      </c>
      <c r="G223" s="6" t="n">
        <f aca="false">Sheet1_Original_Data!G222</f>
        <v>0.229</v>
      </c>
      <c r="H223" s="6" t="n">
        <f aca="false">Sheet1_Original_Data!H222</f>
        <v>14</v>
      </c>
      <c r="I223" s="6" t="n">
        <f aca="false">Sheet1_Original_Data!I222</f>
        <v>90.7</v>
      </c>
      <c r="J223" s="6" t="n">
        <f aca="false">Sheet1_Original_Data!J222</f>
        <v>1.92</v>
      </c>
      <c r="K223" s="6" t="n">
        <f aca="false">Sheet1_Original_Data!K222</f>
        <v>0</v>
      </c>
      <c r="L223" s="6" t="n">
        <f aca="false">Sheet1_Original_Data!L222</f>
        <v>3.7</v>
      </c>
      <c r="M223" s="6" t="n">
        <f aca="false">Sheet1_Original_Data!M222</f>
        <v>673348.56</v>
      </c>
      <c r="N223" s="6" t="n">
        <f aca="false">Sheet1_Original_Data!N222</f>
        <v>69464.59</v>
      </c>
      <c r="O223" s="4" t="n">
        <f aca="false">IF(Sheet1_Original_Data!J222="",MEDIAN(Sheet1_Original_Data!$J$4:$J$323),Sheet1_Original_Data!J222)</f>
        <v>1.92</v>
      </c>
      <c r="P223" s="4" t="n">
        <f aca="false">IF(Sheet1_Original_Data!L222="",MEDIAN(Sheet1_Original_Data!$L$4:$L$323),Sheet1_Original_Data!L222)</f>
        <v>3.7</v>
      </c>
    </row>
    <row r="224" customFormat="false" ht="15" hidden="false" customHeight="false" outlineLevel="0" collapsed="false">
      <c r="A224" s="6" t="str">
        <f aca="false">Sheet1_Original_Data!A223</f>
        <v>STR-1055</v>
      </c>
      <c r="B224" s="6" t="str">
        <f aca="false">Sheet1_Original_Data!B223</f>
        <v>2025-04-01</v>
      </c>
      <c r="C224" s="6" t="str">
        <f aca="false">Sheet1_Original_Data!C223</f>
        <v>North</v>
      </c>
      <c r="D224" s="6" t="str">
        <f aca="false">Sheet1_Original_Data!D223</f>
        <v>Airport</v>
      </c>
      <c r="E224" s="6" t="n">
        <f aca="false">Sheet1_Original_Data!E223</f>
        <v>16451.85</v>
      </c>
      <c r="F224" s="6" t="n">
        <f aca="false">Sheet1_Original_Data!F223</f>
        <v>4678</v>
      </c>
      <c r="G224" s="6" t="n">
        <f aca="false">Sheet1_Original_Data!G223</f>
        <v>0.133</v>
      </c>
      <c r="H224" s="6" t="n">
        <f aca="false">Sheet1_Original_Data!H223</f>
        <v>11</v>
      </c>
      <c r="I224" s="6" t="n">
        <f aca="false">Sheet1_Original_Data!I223</f>
        <v>95.9</v>
      </c>
      <c r="J224" s="6" t="n">
        <f aca="false">Sheet1_Original_Data!J223</f>
        <v>3.1</v>
      </c>
      <c r="K224" s="6" t="n">
        <f aca="false">Sheet1_Original_Data!K223</f>
        <v>0</v>
      </c>
      <c r="L224" s="6" t="n">
        <f aca="false">Sheet1_Original_Data!L223</f>
        <v>3.9</v>
      </c>
      <c r="M224" s="6" t="n">
        <f aca="false">Sheet1_Original_Data!M223</f>
        <v>606278.3</v>
      </c>
      <c r="N224" s="6" t="n">
        <f aca="false">Sheet1_Original_Data!N223</f>
        <v>102213.26</v>
      </c>
      <c r="O224" s="4" t="n">
        <f aca="false">IF(Sheet1_Original_Data!J223="",MEDIAN(Sheet1_Original_Data!$J$4:$J$323),Sheet1_Original_Data!J223)</f>
        <v>3.1</v>
      </c>
      <c r="P224" s="4" t="n">
        <f aca="false">IF(Sheet1_Original_Data!L223="",MEDIAN(Sheet1_Original_Data!$L$4:$L$323),Sheet1_Original_Data!L223)</f>
        <v>3.9</v>
      </c>
    </row>
    <row r="225" customFormat="false" ht="15" hidden="false" customHeight="false" outlineLevel="0" collapsed="false">
      <c r="A225" s="6" t="str">
        <f aca="false">Sheet1_Original_Data!A224</f>
        <v>STR-1056</v>
      </c>
      <c r="B225" s="6" t="str">
        <f aca="false">Sheet1_Original_Data!B224</f>
        <v>2025-01-01</v>
      </c>
      <c r="C225" s="6" t="str">
        <f aca="false">Sheet1_Original_Data!C224</f>
        <v>East</v>
      </c>
      <c r="D225" s="6" t="str">
        <f aca="false">Sheet1_Original_Data!D224</f>
        <v>High Street</v>
      </c>
      <c r="E225" s="6" t="n">
        <f aca="false">Sheet1_Original_Data!E224</f>
        <v>53367.73</v>
      </c>
      <c r="F225" s="6" t="n">
        <f aca="false">Sheet1_Original_Data!F224</f>
        <v>7291</v>
      </c>
      <c r="G225" s="6" t="n">
        <f aca="false">Sheet1_Original_Data!G224</f>
        <v>0.146</v>
      </c>
      <c r="H225" s="6" t="n">
        <f aca="false">Sheet1_Original_Data!H224</f>
        <v>18</v>
      </c>
      <c r="I225" s="6" t="n">
        <f aca="false">Sheet1_Original_Data!I224</f>
        <v>90.6</v>
      </c>
      <c r="J225" s="6" t="n">
        <f aca="false">Sheet1_Original_Data!J224</f>
        <v>6.34</v>
      </c>
      <c r="K225" s="6" t="n">
        <f aca="false">Sheet1_Original_Data!K224</f>
        <v>1</v>
      </c>
      <c r="L225" s="6" t="n">
        <f aca="false">Sheet1_Original_Data!L224</f>
        <v>3.8</v>
      </c>
      <c r="M225" s="6" t="n">
        <f aca="false">Sheet1_Original_Data!M224</f>
        <v>712219.81</v>
      </c>
      <c r="N225" s="6" t="n">
        <f aca="false">Sheet1_Original_Data!N224</f>
        <v>85906.54</v>
      </c>
      <c r="O225" s="4" t="n">
        <f aca="false">IF(Sheet1_Original_Data!J224="",MEDIAN(Sheet1_Original_Data!$J$4:$J$323),Sheet1_Original_Data!J224)</f>
        <v>6.34</v>
      </c>
      <c r="P225" s="4" t="n">
        <f aca="false">IF(Sheet1_Original_Data!L224="",MEDIAN(Sheet1_Original_Data!$L$4:$L$323),Sheet1_Original_Data!L224)</f>
        <v>3.8</v>
      </c>
    </row>
    <row r="226" customFormat="false" ht="15" hidden="false" customHeight="false" outlineLevel="0" collapsed="false">
      <c r="A226" s="6" t="str">
        <f aca="false">Sheet1_Original_Data!A225</f>
        <v>STR-1056</v>
      </c>
      <c r="B226" s="6" t="str">
        <f aca="false">Sheet1_Original_Data!B225</f>
        <v>2025-02-01</v>
      </c>
      <c r="C226" s="6" t="str">
        <f aca="false">Sheet1_Original_Data!C225</f>
        <v>East</v>
      </c>
      <c r="D226" s="6" t="str">
        <f aca="false">Sheet1_Original_Data!D225</f>
        <v>High Street</v>
      </c>
      <c r="E226" s="6" t="n">
        <f aca="false">Sheet1_Original_Data!E225</f>
        <v>27194.64</v>
      </c>
      <c r="F226" s="6" t="n">
        <f aca="false">Sheet1_Original_Data!F225</f>
        <v>7404</v>
      </c>
      <c r="G226" s="6" t="n">
        <f aca="false">Sheet1_Original_Data!G225</f>
        <v>0.088</v>
      </c>
      <c r="H226" s="6" t="n">
        <f aca="false">Sheet1_Original_Data!H225</f>
        <v>18</v>
      </c>
      <c r="I226" s="6" t="n">
        <f aca="false">Sheet1_Original_Data!I225</f>
        <v>90.2</v>
      </c>
      <c r="J226" s="6" t="n">
        <f aca="false">Sheet1_Original_Data!J225</f>
        <v>1.2</v>
      </c>
      <c r="K226" s="6" t="n">
        <f aca="false">Sheet1_Original_Data!K225</f>
        <v>0</v>
      </c>
      <c r="L226" s="6" t="n">
        <f aca="false">Sheet1_Original_Data!L225</f>
        <v>3.4</v>
      </c>
      <c r="M226" s="6" t="n">
        <f aca="false">Sheet1_Original_Data!M225</f>
        <v>672670.54</v>
      </c>
      <c r="N226" s="6" t="n">
        <f aca="false">Sheet1_Original_Data!N225</f>
        <v>132684.18</v>
      </c>
      <c r="O226" s="4" t="n">
        <f aca="false">IF(Sheet1_Original_Data!J225="",MEDIAN(Sheet1_Original_Data!$J$4:$J$323),Sheet1_Original_Data!J225)</f>
        <v>1.2</v>
      </c>
      <c r="P226" s="4" t="n">
        <f aca="false">IF(Sheet1_Original_Data!L225="",MEDIAN(Sheet1_Original_Data!$L$4:$L$323),Sheet1_Original_Data!L225)</f>
        <v>3.4</v>
      </c>
    </row>
    <row r="227" customFormat="false" ht="15" hidden="false" customHeight="false" outlineLevel="0" collapsed="false">
      <c r="A227" s="6" t="str">
        <f aca="false">Sheet1_Original_Data!A226</f>
        <v>STR-1056</v>
      </c>
      <c r="B227" s="6" t="str">
        <f aca="false">Sheet1_Original_Data!B226</f>
        <v>2025-03-01</v>
      </c>
      <c r="C227" s="6" t="str">
        <f aca="false">Sheet1_Original_Data!C226</f>
        <v>East</v>
      </c>
      <c r="D227" s="6" t="str">
        <f aca="false">Sheet1_Original_Data!D226</f>
        <v>High Street</v>
      </c>
      <c r="E227" s="6" t="n">
        <f aca="false">Sheet1_Original_Data!E226</f>
        <v>66962.74</v>
      </c>
      <c r="F227" s="6" t="n">
        <f aca="false">Sheet1_Original_Data!F226</f>
        <v>7880</v>
      </c>
      <c r="G227" s="6" t="n">
        <f aca="false">Sheet1_Original_Data!G226</f>
        <v>0.116</v>
      </c>
      <c r="H227" s="6" t="n">
        <f aca="false">Sheet1_Original_Data!H226</f>
        <v>19</v>
      </c>
      <c r="I227" s="6" t="n">
        <f aca="false">Sheet1_Original_Data!I226</f>
        <v>90.4</v>
      </c>
      <c r="J227" s="6" t="n">
        <f aca="false">Sheet1_Original_Data!J226</f>
        <v>4.5</v>
      </c>
      <c r="K227" s="6" t="n">
        <f aca="false">Sheet1_Original_Data!K226</f>
        <v>0</v>
      </c>
      <c r="L227" s="6" t="n">
        <f aca="false">Sheet1_Original_Data!L226</f>
        <v>3.3</v>
      </c>
      <c r="M227" s="6" t="n">
        <f aca="false">Sheet1_Original_Data!M226</f>
        <v>732667.92</v>
      </c>
      <c r="N227" s="6" t="n">
        <f aca="false">Sheet1_Original_Data!N226</f>
        <v>128654.46</v>
      </c>
      <c r="O227" s="4" t="n">
        <f aca="false">IF(Sheet1_Original_Data!J226="",MEDIAN(Sheet1_Original_Data!$J$4:$J$323),Sheet1_Original_Data!J226)</f>
        <v>4.5</v>
      </c>
      <c r="P227" s="4" t="n">
        <f aca="false">IF(Sheet1_Original_Data!L226="",MEDIAN(Sheet1_Original_Data!$L$4:$L$323),Sheet1_Original_Data!L226)</f>
        <v>3.3</v>
      </c>
    </row>
    <row r="228" customFormat="false" ht="15" hidden="false" customHeight="false" outlineLevel="0" collapsed="false">
      <c r="A228" s="6" t="str">
        <f aca="false">Sheet1_Original_Data!A227</f>
        <v>STR-1056</v>
      </c>
      <c r="B228" s="6" t="str">
        <f aca="false">Sheet1_Original_Data!B227</f>
        <v>2025-04-01</v>
      </c>
      <c r="C228" s="6" t="str">
        <f aca="false">Sheet1_Original_Data!C227</f>
        <v>East</v>
      </c>
      <c r="D228" s="6" t="str">
        <f aca="false">Sheet1_Original_Data!D227</f>
        <v>High Street</v>
      </c>
      <c r="E228" s="6" t="n">
        <f aca="false">Sheet1_Original_Data!E227</f>
        <v>73540.99</v>
      </c>
      <c r="F228" s="6" t="n">
        <f aca="false">Sheet1_Original_Data!F227</f>
        <v>8773</v>
      </c>
      <c r="G228" s="6" t="n">
        <f aca="false">Sheet1_Original_Data!G227</f>
        <v>0.035</v>
      </c>
      <c r="H228" s="6" t="n">
        <f aca="false">Sheet1_Original_Data!H227</f>
        <v>21</v>
      </c>
      <c r="I228" s="6" t="n">
        <f aca="false">Sheet1_Original_Data!I227</f>
        <v>84.4</v>
      </c>
      <c r="J228" s="6" t="n">
        <f aca="false">Sheet1_Original_Data!J227</f>
        <v>6.68</v>
      </c>
      <c r="K228" s="6" t="n">
        <f aca="false">Sheet1_Original_Data!K227</f>
        <v>0</v>
      </c>
      <c r="L228" s="6" t="n">
        <f aca="false">Sheet1_Original_Data!L227</f>
        <v>3.6</v>
      </c>
      <c r="M228" s="6" t="n">
        <f aca="false">Sheet1_Original_Data!M227</f>
        <v>723531.4</v>
      </c>
      <c r="N228" s="6" t="n">
        <f aca="false">Sheet1_Original_Data!N227</f>
        <v>108794.85</v>
      </c>
      <c r="O228" s="4" t="n">
        <f aca="false">IF(Sheet1_Original_Data!J227="",MEDIAN(Sheet1_Original_Data!$J$4:$J$323),Sheet1_Original_Data!J227)</f>
        <v>6.68</v>
      </c>
      <c r="P228" s="4" t="n">
        <f aca="false">IF(Sheet1_Original_Data!L227="",MEDIAN(Sheet1_Original_Data!$L$4:$L$323),Sheet1_Original_Data!L227)</f>
        <v>3.6</v>
      </c>
    </row>
    <row r="229" customFormat="false" ht="15" hidden="false" customHeight="false" outlineLevel="0" collapsed="false">
      <c r="A229" s="6" t="str">
        <f aca="false">Sheet1_Original_Data!A228</f>
        <v>STR-1057</v>
      </c>
      <c r="B229" s="6" t="str">
        <f aca="false">Sheet1_Original_Data!B228</f>
        <v>2025-01-01</v>
      </c>
      <c r="C229" s="6" t="str">
        <f aca="false">Sheet1_Original_Data!C228</f>
        <v>East</v>
      </c>
      <c r="D229" s="6" t="str">
        <f aca="false">Sheet1_Original_Data!D228</f>
        <v>Mall</v>
      </c>
      <c r="E229" s="6" t="n">
        <f aca="false">Sheet1_Original_Data!E228</f>
        <v>68212.29</v>
      </c>
      <c r="F229" s="6" t="n">
        <f aca="false">Sheet1_Original_Data!F228</f>
        <v>4713</v>
      </c>
      <c r="G229" s="6" t="n">
        <f aca="false">Sheet1_Original_Data!G228</f>
        <v>0.198</v>
      </c>
      <c r="H229" s="6" t="n">
        <f aca="false">Sheet1_Original_Data!H228</f>
        <v>15</v>
      </c>
      <c r="I229" s="6" t="n">
        <f aca="false">Sheet1_Original_Data!I228</f>
        <v>82.6</v>
      </c>
      <c r="J229" s="6" t="n">
        <f aca="false">Sheet1_Original_Data!J228</f>
        <v>4.07</v>
      </c>
      <c r="K229" s="6" t="n">
        <f aca="false">Sheet1_Original_Data!K228</f>
        <v>1</v>
      </c>
      <c r="L229" s="6" t="n">
        <f aca="false">Sheet1_Original_Data!L228</f>
        <v>3</v>
      </c>
      <c r="M229" s="6" t="n">
        <f aca="false">Sheet1_Original_Data!M228</f>
        <v>641564.6</v>
      </c>
      <c r="N229" s="6" t="n">
        <f aca="false">Sheet1_Original_Data!N228</f>
        <v>90468.96</v>
      </c>
      <c r="O229" s="4" t="n">
        <f aca="false">IF(Sheet1_Original_Data!J228="",MEDIAN(Sheet1_Original_Data!$J$4:$J$323),Sheet1_Original_Data!J228)</f>
        <v>4.07</v>
      </c>
      <c r="P229" s="4" t="n">
        <f aca="false">IF(Sheet1_Original_Data!L228="",MEDIAN(Sheet1_Original_Data!$L$4:$L$323),Sheet1_Original_Data!L228)</f>
        <v>3</v>
      </c>
    </row>
    <row r="230" customFormat="false" ht="15" hidden="false" customHeight="false" outlineLevel="0" collapsed="false">
      <c r="A230" s="6" t="str">
        <f aca="false">Sheet1_Original_Data!A229</f>
        <v>STR-1057</v>
      </c>
      <c r="B230" s="6" t="str">
        <f aca="false">Sheet1_Original_Data!B229</f>
        <v>2025-02-01</v>
      </c>
      <c r="C230" s="6" t="str">
        <f aca="false">Sheet1_Original_Data!C229</f>
        <v>East</v>
      </c>
      <c r="D230" s="6" t="str">
        <f aca="false">Sheet1_Original_Data!D229</f>
        <v>Mall</v>
      </c>
      <c r="E230" s="6" t="n">
        <f aca="false">Sheet1_Original_Data!E229</f>
        <v>57225.98</v>
      </c>
      <c r="F230" s="6" t="n">
        <f aca="false">Sheet1_Original_Data!F229</f>
        <v>2842</v>
      </c>
      <c r="G230" s="6" t="n">
        <f aca="false">Sheet1_Original_Data!G229</f>
        <v>0.112</v>
      </c>
      <c r="H230" s="6" t="n">
        <f aca="false">Sheet1_Original_Data!H229</f>
        <v>10</v>
      </c>
      <c r="I230" s="6" t="n">
        <f aca="false">Sheet1_Original_Data!I229</f>
        <v>79.5</v>
      </c>
      <c r="J230" s="6" t="n">
        <f aca="false">Sheet1_Original_Data!J229</f>
        <v>5.45</v>
      </c>
      <c r="K230" s="6" t="n">
        <f aca="false">Sheet1_Original_Data!K229</f>
        <v>0</v>
      </c>
      <c r="L230" s="6" t="n">
        <f aca="false">Sheet1_Original_Data!L229</f>
        <v>3.4</v>
      </c>
      <c r="M230" s="6" t="n">
        <f aca="false">Sheet1_Original_Data!M229</f>
        <v>536545.49</v>
      </c>
      <c r="N230" s="6" t="n">
        <f aca="false">Sheet1_Original_Data!N229</f>
        <v>97917.45</v>
      </c>
      <c r="O230" s="4" t="n">
        <f aca="false">IF(Sheet1_Original_Data!J229="",MEDIAN(Sheet1_Original_Data!$J$4:$J$323),Sheet1_Original_Data!J229)</f>
        <v>5.45</v>
      </c>
      <c r="P230" s="4" t="n">
        <f aca="false">IF(Sheet1_Original_Data!L229="",MEDIAN(Sheet1_Original_Data!$L$4:$L$323),Sheet1_Original_Data!L229)</f>
        <v>3.4</v>
      </c>
    </row>
    <row r="231" customFormat="false" ht="15" hidden="false" customHeight="false" outlineLevel="0" collapsed="false">
      <c r="A231" s="6" t="str">
        <f aca="false">Sheet1_Original_Data!A230</f>
        <v>STR-1057</v>
      </c>
      <c r="B231" s="6" t="str">
        <f aca="false">Sheet1_Original_Data!B230</f>
        <v>2025-03-01</v>
      </c>
      <c r="C231" s="6" t="str">
        <f aca="false">Sheet1_Original_Data!C230</f>
        <v>East</v>
      </c>
      <c r="D231" s="6" t="str">
        <f aca="false">Sheet1_Original_Data!D230</f>
        <v>Mall</v>
      </c>
      <c r="E231" s="6" t="n">
        <f aca="false">Sheet1_Original_Data!E230</f>
        <v>42932.02</v>
      </c>
      <c r="F231" s="6" t="n">
        <f aca="false">Sheet1_Original_Data!F230</f>
        <v>3872</v>
      </c>
      <c r="G231" s="6" t="n">
        <f aca="false">Sheet1_Original_Data!G230</f>
        <v>0.171</v>
      </c>
      <c r="H231" s="6" t="n">
        <f aca="false">Sheet1_Original_Data!H230</f>
        <v>12</v>
      </c>
      <c r="I231" s="6" t="n">
        <f aca="false">Sheet1_Original_Data!I230</f>
        <v>83.2</v>
      </c>
      <c r="J231" s="6" t="n">
        <f aca="false">Sheet1_Original_Data!J230</f>
        <v>15.58</v>
      </c>
      <c r="K231" s="6" t="n">
        <f aca="false">Sheet1_Original_Data!K230</f>
        <v>0</v>
      </c>
      <c r="L231" s="6" t="n">
        <f aca="false">Sheet1_Original_Data!L230</f>
        <v>3.3</v>
      </c>
      <c r="M231" s="6" t="n">
        <f aca="false">Sheet1_Original_Data!M230</f>
        <v>527681.56</v>
      </c>
      <c r="N231" s="6" t="n">
        <f aca="false">Sheet1_Original_Data!N230</f>
        <v>63153.05</v>
      </c>
      <c r="O231" s="4" t="n">
        <f aca="false">IF(Sheet1_Original_Data!J230="",MEDIAN(Sheet1_Original_Data!$J$4:$J$323),Sheet1_Original_Data!J230)</f>
        <v>15.58</v>
      </c>
      <c r="P231" s="4" t="n">
        <f aca="false">IF(Sheet1_Original_Data!L230="",MEDIAN(Sheet1_Original_Data!$L$4:$L$323),Sheet1_Original_Data!L230)</f>
        <v>3.3</v>
      </c>
    </row>
    <row r="232" customFormat="false" ht="15" hidden="false" customHeight="false" outlineLevel="0" collapsed="false">
      <c r="A232" s="6" t="str">
        <f aca="false">Sheet1_Original_Data!A231</f>
        <v>STR-1057</v>
      </c>
      <c r="B232" s="6" t="str">
        <f aca="false">Sheet1_Original_Data!B231</f>
        <v>2025-04-01</v>
      </c>
      <c r="C232" s="6" t="str">
        <f aca="false">Sheet1_Original_Data!C231</f>
        <v>East</v>
      </c>
      <c r="D232" s="6" t="str">
        <f aca="false">Sheet1_Original_Data!D231</f>
        <v>Mall</v>
      </c>
      <c r="E232" s="6" t="n">
        <f aca="false">Sheet1_Original_Data!E231</f>
        <v>39341.45</v>
      </c>
      <c r="F232" s="6" t="n">
        <f aca="false">Sheet1_Original_Data!F231</f>
        <v>1375</v>
      </c>
      <c r="G232" s="6" t="n">
        <f aca="false">Sheet1_Original_Data!G231</f>
        <v>0.093</v>
      </c>
      <c r="H232" s="6" t="n">
        <f aca="false">Sheet1_Original_Data!H231</f>
        <v>5</v>
      </c>
      <c r="I232" s="6" t="n">
        <f aca="false">Sheet1_Original_Data!I231</f>
        <v>95</v>
      </c>
      <c r="J232" s="6" t="n">
        <f aca="false">Sheet1_Original_Data!J231</f>
        <v>5.32</v>
      </c>
      <c r="K232" s="6" t="n">
        <f aca="false">Sheet1_Original_Data!K231</f>
        <v>0</v>
      </c>
      <c r="L232" s="6" t="n">
        <f aca="false">Sheet1_Original_Data!L231</f>
        <v>0</v>
      </c>
      <c r="M232" s="6" t="n">
        <f aca="false">Sheet1_Original_Data!M231</f>
        <v>529598.94</v>
      </c>
      <c r="N232" s="6" t="n">
        <f aca="false">Sheet1_Original_Data!N231</f>
        <v>84334.33</v>
      </c>
      <c r="O232" s="4" t="n">
        <f aca="false">IF(Sheet1_Original_Data!J231="",MEDIAN(Sheet1_Original_Data!$J$4:$J$323),Sheet1_Original_Data!J231)</f>
        <v>5.32</v>
      </c>
      <c r="P232" s="4" t="n">
        <f aca="false">IF(Sheet1_Original_Data!L231="",MEDIAN(Sheet1_Original_Data!$L$4:$L$323),Sheet1_Original_Data!L231)</f>
        <v>3.9</v>
      </c>
    </row>
    <row r="233" customFormat="false" ht="15" hidden="false" customHeight="false" outlineLevel="0" collapsed="false">
      <c r="A233" s="6" t="str">
        <f aca="false">Sheet1_Original_Data!A232</f>
        <v>STR-1058</v>
      </c>
      <c r="B233" s="6" t="str">
        <f aca="false">Sheet1_Original_Data!B232</f>
        <v>2025-01-01</v>
      </c>
      <c r="C233" s="6" t="str">
        <f aca="false">Sheet1_Original_Data!C232</f>
        <v>East</v>
      </c>
      <c r="D233" s="6" t="str">
        <f aca="false">Sheet1_Original_Data!D232</f>
        <v>High Street</v>
      </c>
      <c r="E233" s="6" t="n">
        <f aca="false">Sheet1_Original_Data!E232</f>
        <v>37324.23</v>
      </c>
      <c r="F233" s="6" t="n">
        <f aca="false">Sheet1_Original_Data!F232</f>
        <v>5957</v>
      </c>
      <c r="G233" s="6" t="n">
        <f aca="false">Sheet1_Original_Data!G232</f>
        <v>0.071</v>
      </c>
      <c r="H233" s="6" t="n">
        <f aca="false">Sheet1_Original_Data!H232</f>
        <v>12</v>
      </c>
      <c r="I233" s="6" t="n">
        <f aca="false">Sheet1_Original_Data!I232</f>
        <v>85.9</v>
      </c>
      <c r="J233" s="6" t="n">
        <f aca="false">Sheet1_Original_Data!J232</f>
        <v>0.37</v>
      </c>
      <c r="K233" s="6" t="n">
        <f aca="false">Sheet1_Original_Data!K232</f>
        <v>0</v>
      </c>
      <c r="L233" s="6" t="n">
        <f aca="false">Sheet1_Original_Data!L232</f>
        <v>3.8</v>
      </c>
      <c r="M233" s="6" t="n">
        <f aca="false">Sheet1_Original_Data!M232</f>
        <v>570963.31</v>
      </c>
      <c r="N233" s="6" t="n">
        <f aca="false">Sheet1_Original_Data!N232</f>
        <v>87342.25</v>
      </c>
      <c r="O233" s="4" t="n">
        <f aca="false">IF(Sheet1_Original_Data!J232="",MEDIAN(Sheet1_Original_Data!$J$4:$J$323),Sheet1_Original_Data!J232)</f>
        <v>0.37</v>
      </c>
      <c r="P233" s="4" t="n">
        <f aca="false">IF(Sheet1_Original_Data!L232="",MEDIAN(Sheet1_Original_Data!$L$4:$L$323),Sheet1_Original_Data!L232)</f>
        <v>3.8</v>
      </c>
    </row>
    <row r="234" customFormat="false" ht="15" hidden="false" customHeight="false" outlineLevel="0" collapsed="false">
      <c r="A234" s="6" t="str">
        <f aca="false">Sheet1_Original_Data!A233</f>
        <v>STR-1058</v>
      </c>
      <c r="B234" s="6" t="str">
        <f aca="false">Sheet1_Original_Data!B233</f>
        <v>2025-02-01</v>
      </c>
      <c r="C234" s="6" t="str">
        <f aca="false">Sheet1_Original_Data!C233</f>
        <v>East</v>
      </c>
      <c r="D234" s="6" t="str">
        <f aca="false">Sheet1_Original_Data!D233</f>
        <v>High Street</v>
      </c>
      <c r="E234" s="6" t="n">
        <f aca="false">Sheet1_Original_Data!E233</f>
        <v>113736</v>
      </c>
      <c r="F234" s="6" t="n">
        <f aca="false">Sheet1_Original_Data!F233</f>
        <v>8961</v>
      </c>
      <c r="G234" s="6" t="n">
        <f aca="false">Sheet1_Original_Data!G233</f>
        <v>0.202</v>
      </c>
      <c r="H234" s="6" t="n">
        <f aca="false">Sheet1_Original_Data!H233</f>
        <v>24</v>
      </c>
      <c r="I234" s="6" t="n">
        <f aca="false">Sheet1_Original_Data!I233</f>
        <v>86.2</v>
      </c>
      <c r="J234" s="6" t="n">
        <f aca="false">Sheet1_Original_Data!J233</f>
        <v>21.63</v>
      </c>
      <c r="K234" s="6" t="n">
        <f aca="false">Sheet1_Original_Data!K233</f>
        <v>0</v>
      </c>
      <c r="L234" s="6" t="n">
        <f aca="false">Sheet1_Original_Data!L233</f>
        <v>4</v>
      </c>
      <c r="M234" s="6" t="n">
        <f aca="false">Sheet1_Original_Data!M233</f>
        <v>870937.4</v>
      </c>
      <c r="N234" s="6" t="n">
        <f aca="false">Sheet1_Original_Data!N233</f>
        <v>175282.74</v>
      </c>
      <c r="O234" s="4" t="n">
        <f aca="false">IF(Sheet1_Original_Data!J233="",MEDIAN(Sheet1_Original_Data!$J$4:$J$323),Sheet1_Original_Data!J233)</f>
        <v>21.63</v>
      </c>
      <c r="P234" s="4" t="n">
        <f aca="false">IF(Sheet1_Original_Data!L233="",MEDIAN(Sheet1_Original_Data!$L$4:$L$323),Sheet1_Original_Data!L233)</f>
        <v>4</v>
      </c>
    </row>
    <row r="235" customFormat="false" ht="15" hidden="false" customHeight="false" outlineLevel="0" collapsed="false">
      <c r="A235" s="6" t="str">
        <f aca="false">Sheet1_Original_Data!A234</f>
        <v>STR-1058</v>
      </c>
      <c r="B235" s="6" t="str">
        <f aca="false">Sheet1_Original_Data!B234</f>
        <v>2025-03-01</v>
      </c>
      <c r="C235" s="6" t="str">
        <f aca="false">Sheet1_Original_Data!C234</f>
        <v>East</v>
      </c>
      <c r="D235" s="6" t="str">
        <f aca="false">Sheet1_Original_Data!D234</f>
        <v>High Street</v>
      </c>
      <c r="E235" s="6" t="n">
        <f aca="false">Sheet1_Original_Data!E234</f>
        <v>33173.95</v>
      </c>
      <c r="F235" s="6" t="n">
        <f aca="false">Sheet1_Original_Data!F234</f>
        <v>6545</v>
      </c>
      <c r="G235" s="6" t="n">
        <f aca="false">Sheet1_Original_Data!G234</f>
        <v>0.169</v>
      </c>
      <c r="H235" s="6" t="n">
        <f aca="false">Sheet1_Original_Data!H234</f>
        <v>15</v>
      </c>
      <c r="I235" s="6" t="n">
        <f aca="false">Sheet1_Original_Data!I234</f>
        <v>84.4</v>
      </c>
      <c r="J235" s="6" t="n">
        <f aca="false">Sheet1_Original_Data!J234</f>
        <v>2.48</v>
      </c>
      <c r="K235" s="6" t="n">
        <f aca="false">Sheet1_Original_Data!K234</f>
        <v>0</v>
      </c>
      <c r="L235" s="6" t="n">
        <f aca="false">Sheet1_Original_Data!L234</f>
        <v>3.9</v>
      </c>
      <c r="M235" s="6" t="n">
        <f aca="false">Sheet1_Original_Data!M234</f>
        <v>596969.27</v>
      </c>
      <c r="N235" s="6" t="n">
        <f aca="false">Sheet1_Original_Data!N234</f>
        <v>105669.51</v>
      </c>
      <c r="O235" s="4" t="n">
        <f aca="false">IF(Sheet1_Original_Data!J234="",MEDIAN(Sheet1_Original_Data!$J$4:$J$323),Sheet1_Original_Data!J234)</f>
        <v>2.48</v>
      </c>
      <c r="P235" s="4" t="n">
        <f aca="false">IF(Sheet1_Original_Data!L234="",MEDIAN(Sheet1_Original_Data!$L$4:$L$323),Sheet1_Original_Data!L234)</f>
        <v>3.9</v>
      </c>
    </row>
    <row r="236" customFormat="false" ht="15" hidden="false" customHeight="false" outlineLevel="0" collapsed="false">
      <c r="A236" s="6" t="str">
        <f aca="false">Sheet1_Original_Data!A235</f>
        <v>STR-1058</v>
      </c>
      <c r="B236" s="6" t="str">
        <f aca="false">Sheet1_Original_Data!B235</f>
        <v>2025-04-01</v>
      </c>
      <c r="C236" s="6" t="str">
        <f aca="false">Sheet1_Original_Data!C235</f>
        <v>East</v>
      </c>
      <c r="D236" s="6" t="str">
        <f aca="false">Sheet1_Original_Data!D235</f>
        <v>High Street</v>
      </c>
      <c r="E236" s="6" t="n">
        <f aca="false">Sheet1_Original_Data!E235</f>
        <v>25818.08</v>
      </c>
      <c r="F236" s="6" t="n">
        <f aca="false">Sheet1_Original_Data!F235</f>
        <v>5457</v>
      </c>
      <c r="G236" s="6" t="n">
        <f aca="false">Sheet1_Original_Data!G235</f>
        <v>0</v>
      </c>
      <c r="H236" s="6" t="n">
        <f aca="false">Sheet1_Original_Data!H235</f>
        <v>11</v>
      </c>
      <c r="I236" s="6" t="n">
        <f aca="false">Sheet1_Original_Data!I235</f>
        <v>95.4</v>
      </c>
      <c r="J236" s="6" t="n">
        <f aca="false">Sheet1_Original_Data!J235</f>
        <v>0</v>
      </c>
      <c r="K236" s="6" t="n">
        <f aca="false">Sheet1_Original_Data!K235</f>
        <v>0</v>
      </c>
      <c r="L236" s="6" t="n">
        <f aca="false">Sheet1_Original_Data!L235</f>
        <v>3.7</v>
      </c>
      <c r="M236" s="6" t="n">
        <f aca="false">Sheet1_Original_Data!M235</f>
        <v>647512.85</v>
      </c>
      <c r="N236" s="6" t="n">
        <f aca="false">Sheet1_Original_Data!N235</f>
        <v>153835.57</v>
      </c>
      <c r="O236" s="4" t="n">
        <f aca="false">IF(Sheet1_Original_Data!J235="",MEDIAN(Sheet1_Original_Data!$J$4:$J$323),Sheet1_Original_Data!J235)</f>
        <v>3.365</v>
      </c>
      <c r="P236" s="4" t="n">
        <f aca="false">IF(Sheet1_Original_Data!L235="",MEDIAN(Sheet1_Original_Data!$L$4:$L$323),Sheet1_Original_Data!L235)</f>
        <v>3.7</v>
      </c>
    </row>
    <row r="237" customFormat="false" ht="15" hidden="false" customHeight="false" outlineLevel="0" collapsed="false">
      <c r="A237" s="6" t="str">
        <f aca="false">Sheet1_Original_Data!A236</f>
        <v>STR-1059</v>
      </c>
      <c r="B237" s="6" t="str">
        <f aca="false">Sheet1_Original_Data!B236</f>
        <v>2025-01-01</v>
      </c>
      <c r="C237" s="6" t="str">
        <f aca="false">Sheet1_Original_Data!C236</f>
        <v>West</v>
      </c>
      <c r="D237" s="6" t="str">
        <f aca="false">Sheet1_Original_Data!D236</f>
        <v>Residential</v>
      </c>
      <c r="E237" s="6" t="n">
        <f aca="false">Sheet1_Original_Data!E236</f>
        <v>47241.92</v>
      </c>
      <c r="F237" s="6" t="n">
        <f aca="false">Sheet1_Original_Data!F236</f>
        <v>4264</v>
      </c>
      <c r="G237" s="6" t="n">
        <f aca="false">Sheet1_Original_Data!G236</f>
        <v>0.069</v>
      </c>
      <c r="H237" s="6" t="n">
        <f aca="false">Sheet1_Original_Data!H236</f>
        <v>13</v>
      </c>
      <c r="I237" s="6" t="n">
        <f aca="false">Sheet1_Original_Data!I236</f>
        <v>95.3</v>
      </c>
      <c r="J237" s="6" t="n">
        <f aca="false">Sheet1_Original_Data!J236</f>
        <v>0.85</v>
      </c>
      <c r="K237" s="6" t="n">
        <f aca="false">Sheet1_Original_Data!K236</f>
        <v>0</v>
      </c>
      <c r="L237" s="6" t="n">
        <f aca="false">Sheet1_Original_Data!L236</f>
        <v>4.3</v>
      </c>
      <c r="M237" s="6" t="n">
        <f aca="false">Sheet1_Original_Data!M236</f>
        <v>658072.14</v>
      </c>
      <c r="N237" s="6" t="n">
        <f aca="false">Sheet1_Original_Data!N236</f>
        <v>110595.89</v>
      </c>
      <c r="O237" s="4" t="n">
        <f aca="false">IF(Sheet1_Original_Data!J236="",MEDIAN(Sheet1_Original_Data!$J$4:$J$323),Sheet1_Original_Data!J236)</f>
        <v>0.85</v>
      </c>
      <c r="P237" s="4" t="n">
        <f aca="false">IF(Sheet1_Original_Data!L236="",MEDIAN(Sheet1_Original_Data!$L$4:$L$323),Sheet1_Original_Data!L236)</f>
        <v>4.3</v>
      </c>
    </row>
    <row r="238" customFormat="false" ht="15" hidden="false" customHeight="false" outlineLevel="0" collapsed="false">
      <c r="A238" s="6" t="str">
        <f aca="false">Sheet1_Original_Data!A237</f>
        <v>STR-1059</v>
      </c>
      <c r="B238" s="6" t="str">
        <f aca="false">Sheet1_Original_Data!B237</f>
        <v>2025-02-01</v>
      </c>
      <c r="C238" s="6" t="str">
        <f aca="false">Sheet1_Original_Data!C237</f>
        <v>West</v>
      </c>
      <c r="D238" s="6" t="str">
        <f aca="false">Sheet1_Original_Data!D237</f>
        <v>Residential</v>
      </c>
      <c r="E238" s="6" t="n">
        <f aca="false">Sheet1_Original_Data!E237</f>
        <v>61650.79</v>
      </c>
      <c r="F238" s="6" t="n">
        <f aca="false">Sheet1_Original_Data!F237</f>
        <v>5321</v>
      </c>
      <c r="G238" s="6" t="n">
        <f aca="false">Sheet1_Original_Data!G237</f>
        <v>0.126</v>
      </c>
      <c r="H238" s="6" t="n">
        <f aca="false">Sheet1_Original_Data!H237</f>
        <v>17</v>
      </c>
      <c r="I238" s="6" t="n">
        <f aca="false">Sheet1_Original_Data!I237</f>
        <v>89.2</v>
      </c>
      <c r="J238" s="6" t="n">
        <f aca="false">Sheet1_Original_Data!J237</f>
        <v>2.13</v>
      </c>
      <c r="K238" s="6" t="n">
        <f aca="false">Sheet1_Original_Data!K237</f>
        <v>0</v>
      </c>
      <c r="L238" s="6" t="n">
        <f aca="false">Sheet1_Original_Data!L237</f>
        <v>4</v>
      </c>
      <c r="M238" s="6" t="n">
        <f aca="false">Sheet1_Original_Data!M237</f>
        <v>723305.11</v>
      </c>
      <c r="N238" s="6" t="n">
        <f aca="false">Sheet1_Original_Data!N237</f>
        <v>128468.7</v>
      </c>
      <c r="O238" s="4" t="n">
        <f aca="false">IF(Sheet1_Original_Data!J237="",MEDIAN(Sheet1_Original_Data!$J$4:$J$323),Sheet1_Original_Data!J237)</f>
        <v>2.13</v>
      </c>
      <c r="P238" s="4" t="n">
        <f aca="false">IF(Sheet1_Original_Data!L237="",MEDIAN(Sheet1_Original_Data!$L$4:$L$323),Sheet1_Original_Data!L237)</f>
        <v>4</v>
      </c>
    </row>
    <row r="239" customFormat="false" ht="15" hidden="false" customHeight="false" outlineLevel="0" collapsed="false">
      <c r="A239" s="6" t="str">
        <f aca="false">Sheet1_Original_Data!A238</f>
        <v>STR-1059</v>
      </c>
      <c r="B239" s="6" t="str">
        <f aca="false">Sheet1_Original_Data!B238</f>
        <v>2025-03-01</v>
      </c>
      <c r="C239" s="6" t="str">
        <f aca="false">Sheet1_Original_Data!C238</f>
        <v>West</v>
      </c>
      <c r="D239" s="6" t="str">
        <f aca="false">Sheet1_Original_Data!D238</f>
        <v>Residential</v>
      </c>
      <c r="E239" s="6" t="n">
        <f aca="false">Sheet1_Original_Data!E238</f>
        <v>62582.71</v>
      </c>
      <c r="F239" s="6" t="n">
        <f aca="false">Sheet1_Original_Data!F238</f>
        <v>5479</v>
      </c>
      <c r="G239" s="6" t="n">
        <f aca="false">Sheet1_Original_Data!G238</f>
        <v>0.048</v>
      </c>
      <c r="H239" s="6" t="n">
        <f aca="false">Sheet1_Original_Data!H238</f>
        <v>16</v>
      </c>
      <c r="I239" s="6" t="n">
        <f aca="false">Sheet1_Original_Data!I238</f>
        <v>81.2</v>
      </c>
      <c r="J239" s="6" t="n">
        <f aca="false">Sheet1_Original_Data!J238</f>
        <v>1.46</v>
      </c>
      <c r="K239" s="6" t="n">
        <f aca="false">Sheet1_Original_Data!K238</f>
        <v>0</v>
      </c>
      <c r="L239" s="6" t="n">
        <f aca="false">Sheet1_Original_Data!L238</f>
        <v>4.5</v>
      </c>
      <c r="M239" s="6" t="n">
        <f aca="false">Sheet1_Original_Data!M238</f>
        <v>640666.53</v>
      </c>
      <c r="N239" s="6" t="n">
        <f aca="false">Sheet1_Original_Data!N238</f>
        <v>134919.16</v>
      </c>
      <c r="O239" s="4" t="n">
        <f aca="false">IF(Sheet1_Original_Data!J238="",MEDIAN(Sheet1_Original_Data!$J$4:$J$323),Sheet1_Original_Data!J238)</f>
        <v>1.46</v>
      </c>
      <c r="P239" s="4" t="n">
        <f aca="false">IF(Sheet1_Original_Data!L238="",MEDIAN(Sheet1_Original_Data!$L$4:$L$323),Sheet1_Original_Data!L238)</f>
        <v>4.5</v>
      </c>
    </row>
    <row r="240" customFormat="false" ht="15" hidden="false" customHeight="false" outlineLevel="0" collapsed="false">
      <c r="A240" s="6" t="str">
        <f aca="false">Sheet1_Original_Data!A239</f>
        <v>STR-1059</v>
      </c>
      <c r="B240" s="6" t="str">
        <f aca="false">Sheet1_Original_Data!B239</f>
        <v>2025-04-01</v>
      </c>
      <c r="C240" s="6" t="str">
        <f aca="false">Sheet1_Original_Data!C239</f>
        <v>West</v>
      </c>
      <c r="D240" s="6" t="str">
        <f aca="false">Sheet1_Original_Data!D239</f>
        <v>Residential</v>
      </c>
      <c r="E240" s="6" t="n">
        <f aca="false">Sheet1_Original_Data!E239</f>
        <v>47944.14</v>
      </c>
      <c r="F240" s="6" t="n">
        <f aca="false">Sheet1_Original_Data!F239</f>
        <v>6169</v>
      </c>
      <c r="G240" s="6" t="n">
        <f aca="false">Sheet1_Original_Data!G239</f>
        <v>0.119</v>
      </c>
      <c r="H240" s="6" t="n">
        <f aca="false">Sheet1_Original_Data!H239</f>
        <v>17</v>
      </c>
      <c r="I240" s="6" t="n">
        <f aca="false">Sheet1_Original_Data!I239</f>
        <v>92.2</v>
      </c>
      <c r="J240" s="6" t="n">
        <f aca="false">Sheet1_Original_Data!J239</f>
        <v>3.02</v>
      </c>
      <c r="K240" s="6" t="n">
        <f aca="false">Sheet1_Original_Data!K239</f>
        <v>0</v>
      </c>
      <c r="L240" s="6" t="n">
        <f aca="false">Sheet1_Original_Data!L239</f>
        <v>4.1</v>
      </c>
      <c r="M240" s="6" t="n">
        <f aca="false">Sheet1_Original_Data!M239</f>
        <v>670629.48</v>
      </c>
      <c r="N240" s="6" t="n">
        <f aca="false">Sheet1_Original_Data!N239</f>
        <v>100140.8</v>
      </c>
      <c r="O240" s="4" t="n">
        <f aca="false">IF(Sheet1_Original_Data!J239="",MEDIAN(Sheet1_Original_Data!$J$4:$J$323),Sheet1_Original_Data!J239)</f>
        <v>3.02</v>
      </c>
      <c r="P240" s="4" t="n">
        <f aca="false">IF(Sheet1_Original_Data!L239="",MEDIAN(Sheet1_Original_Data!$L$4:$L$323),Sheet1_Original_Data!L239)</f>
        <v>4.1</v>
      </c>
    </row>
    <row r="241" customFormat="false" ht="15" hidden="false" customHeight="false" outlineLevel="0" collapsed="false">
      <c r="A241" s="6" t="str">
        <f aca="false">Sheet1_Original_Data!A240</f>
        <v>STR-1060</v>
      </c>
      <c r="B241" s="6" t="str">
        <f aca="false">Sheet1_Original_Data!B240</f>
        <v>2025-01-01</v>
      </c>
      <c r="C241" s="6" t="str">
        <f aca="false">Sheet1_Original_Data!C240</f>
        <v>West</v>
      </c>
      <c r="D241" s="6" t="str">
        <f aca="false">Sheet1_Original_Data!D240</f>
        <v>Mall</v>
      </c>
      <c r="E241" s="6" t="n">
        <f aca="false">Sheet1_Original_Data!E240</f>
        <v>46495.4</v>
      </c>
      <c r="F241" s="6" t="n">
        <f aca="false">Sheet1_Original_Data!F240</f>
        <v>9908</v>
      </c>
      <c r="G241" s="6" t="n">
        <f aca="false">Sheet1_Original_Data!G240</f>
        <v>0.121</v>
      </c>
      <c r="H241" s="6" t="n">
        <f aca="false">Sheet1_Original_Data!H240</f>
        <v>22</v>
      </c>
      <c r="I241" s="6" t="n">
        <f aca="false">Sheet1_Original_Data!I240</f>
        <v>89.4</v>
      </c>
      <c r="J241" s="6" t="n">
        <f aca="false">Sheet1_Original_Data!J240</f>
        <v>3.22</v>
      </c>
      <c r="K241" s="6" t="n">
        <f aca="false">Sheet1_Original_Data!K240</f>
        <v>0</v>
      </c>
      <c r="L241" s="6" t="n">
        <f aca="false">Sheet1_Original_Data!L240</f>
        <v>3.7</v>
      </c>
      <c r="M241" s="6" t="n">
        <f aca="false">Sheet1_Original_Data!M240</f>
        <v>721079.35</v>
      </c>
      <c r="N241" s="6" t="n">
        <f aca="false">Sheet1_Original_Data!N240</f>
        <v>115295.05</v>
      </c>
      <c r="O241" s="4" t="n">
        <f aca="false">IF(Sheet1_Original_Data!J240="",MEDIAN(Sheet1_Original_Data!$J$4:$J$323),Sheet1_Original_Data!J240)</f>
        <v>3.22</v>
      </c>
      <c r="P241" s="4" t="n">
        <f aca="false">IF(Sheet1_Original_Data!L240="",MEDIAN(Sheet1_Original_Data!$L$4:$L$323),Sheet1_Original_Data!L240)</f>
        <v>3.7</v>
      </c>
    </row>
    <row r="242" customFormat="false" ht="15" hidden="false" customHeight="false" outlineLevel="0" collapsed="false">
      <c r="A242" s="6" t="str">
        <f aca="false">Sheet1_Original_Data!A241</f>
        <v>STR-1060</v>
      </c>
      <c r="B242" s="6" t="str">
        <f aca="false">Sheet1_Original_Data!B241</f>
        <v>2025-02-01</v>
      </c>
      <c r="C242" s="6" t="str">
        <f aca="false">Sheet1_Original_Data!C241</f>
        <v>West</v>
      </c>
      <c r="D242" s="6" t="str">
        <f aca="false">Sheet1_Original_Data!D241</f>
        <v>Mall</v>
      </c>
      <c r="E242" s="6" t="n">
        <f aca="false">Sheet1_Original_Data!E241</f>
        <v>72961.95</v>
      </c>
      <c r="F242" s="6" t="n">
        <f aca="false">Sheet1_Original_Data!F241</f>
        <v>9996</v>
      </c>
      <c r="G242" s="6" t="n">
        <f aca="false">Sheet1_Original_Data!G241</f>
        <v>0.106</v>
      </c>
      <c r="H242" s="6" t="n">
        <f aca="false">Sheet1_Original_Data!H241</f>
        <v>22</v>
      </c>
      <c r="I242" s="6" t="n">
        <f aca="false">Sheet1_Original_Data!I241</f>
        <v>89.1</v>
      </c>
      <c r="J242" s="6" t="n">
        <f aca="false">Sheet1_Original_Data!J241</f>
        <v>15.66</v>
      </c>
      <c r="K242" s="6" t="n">
        <f aca="false">Sheet1_Original_Data!K241</f>
        <v>0</v>
      </c>
      <c r="L242" s="6" t="n">
        <f aca="false">Sheet1_Original_Data!L241</f>
        <v>3.4</v>
      </c>
      <c r="M242" s="6" t="n">
        <f aca="false">Sheet1_Original_Data!M241</f>
        <v>810355.02</v>
      </c>
      <c r="N242" s="6" t="n">
        <f aca="false">Sheet1_Original_Data!N241</f>
        <v>131510</v>
      </c>
      <c r="O242" s="4" t="n">
        <f aca="false">IF(Sheet1_Original_Data!J241="",MEDIAN(Sheet1_Original_Data!$J$4:$J$323),Sheet1_Original_Data!J241)</f>
        <v>15.66</v>
      </c>
      <c r="P242" s="4" t="n">
        <f aca="false">IF(Sheet1_Original_Data!L241="",MEDIAN(Sheet1_Original_Data!$L$4:$L$323),Sheet1_Original_Data!L241)</f>
        <v>3.4</v>
      </c>
    </row>
    <row r="243" customFormat="false" ht="15" hidden="false" customHeight="false" outlineLevel="0" collapsed="false">
      <c r="A243" s="6" t="str">
        <f aca="false">Sheet1_Original_Data!A242</f>
        <v>STR-1060</v>
      </c>
      <c r="B243" s="6" t="str">
        <f aca="false">Sheet1_Original_Data!B242</f>
        <v>2025-03-01</v>
      </c>
      <c r="C243" s="6" t="str">
        <f aca="false">Sheet1_Original_Data!C242</f>
        <v>West</v>
      </c>
      <c r="D243" s="6" t="str">
        <f aca="false">Sheet1_Original_Data!D242</f>
        <v>Mall</v>
      </c>
      <c r="E243" s="6" t="n">
        <f aca="false">Sheet1_Original_Data!E242</f>
        <v>59060.05</v>
      </c>
      <c r="F243" s="6" t="n">
        <f aca="false">Sheet1_Original_Data!F242</f>
        <v>9702</v>
      </c>
      <c r="G243" s="6" t="n">
        <f aca="false">Sheet1_Original_Data!G242</f>
        <v>0.201</v>
      </c>
      <c r="H243" s="6" t="n">
        <f aca="false">Sheet1_Original_Data!H242</f>
        <v>23</v>
      </c>
      <c r="I243" s="6" t="n">
        <f aca="false">Sheet1_Original_Data!I242</f>
        <v>80.9</v>
      </c>
      <c r="J243" s="6" t="n">
        <f aca="false">Sheet1_Original_Data!J242</f>
        <v>6.96</v>
      </c>
      <c r="K243" s="6" t="n">
        <f aca="false">Sheet1_Original_Data!K242</f>
        <v>0</v>
      </c>
      <c r="L243" s="6" t="n">
        <f aca="false">Sheet1_Original_Data!L242</f>
        <v>3.2</v>
      </c>
      <c r="M243" s="6" t="n">
        <f aca="false">Sheet1_Original_Data!M242</f>
        <v>761919.25</v>
      </c>
      <c r="N243" s="6" t="n">
        <f aca="false">Sheet1_Original_Data!N242</f>
        <v>111893.06</v>
      </c>
      <c r="O243" s="4" t="n">
        <f aca="false">IF(Sheet1_Original_Data!J242="",MEDIAN(Sheet1_Original_Data!$J$4:$J$323),Sheet1_Original_Data!J242)</f>
        <v>6.96</v>
      </c>
      <c r="P243" s="4" t="n">
        <f aca="false">IF(Sheet1_Original_Data!L242="",MEDIAN(Sheet1_Original_Data!$L$4:$L$323),Sheet1_Original_Data!L242)</f>
        <v>3.2</v>
      </c>
    </row>
    <row r="244" customFormat="false" ht="15" hidden="false" customHeight="false" outlineLevel="0" collapsed="false">
      <c r="A244" s="6" t="str">
        <f aca="false">Sheet1_Original_Data!A243</f>
        <v>STR-1060</v>
      </c>
      <c r="B244" s="6" t="str">
        <f aca="false">Sheet1_Original_Data!B243</f>
        <v>2025-04-01</v>
      </c>
      <c r="C244" s="6" t="str">
        <f aca="false">Sheet1_Original_Data!C243</f>
        <v>West</v>
      </c>
      <c r="D244" s="6" t="str">
        <f aca="false">Sheet1_Original_Data!D243</f>
        <v>Mall</v>
      </c>
      <c r="E244" s="6" t="n">
        <f aca="false">Sheet1_Original_Data!E243</f>
        <v>26248.1</v>
      </c>
      <c r="F244" s="6" t="n">
        <f aca="false">Sheet1_Original_Data!F243</f>
        <v>9314</v>
      </c>
      <c r="G244" s="6" t="n">
        <f aca="false">Sheet1_Original_Data!G243</f>
        <v>0.186</v>
      </c>
      <c r="H244" s="6" t="n">
        <f aca="false">Sheet1_Original_Data!H243</f>
        <v>21</v>
      </c>
      <c r="I244" s="6" t="n">
        <f aca="false">Sheet1_Original_Data!I243</f>
        <v>83.7</v>
      </c>
      <c r="J244" s="6" t="n">
        <f aca="false">Sheet1_Original_Data!J243</f>
        <v>4.62</v>
      </c>
      <c r="K244" s="6" t="n">
        <f aca="false">Sheet1_Original_Data!K243</f>
        <v>0</v>
      </c>
      <c r="L244" s="6" t="n">
        <f aca="false">Sheet1_Original_Data!L243</f>
        <v>3.3</v>
      </c>
      <c r="M244" s="6" t="n">
        <f aca="false">Sheet1_Original_Data!M243</f>
        <v>737070.18</v>
      </c>
      <c r="N244" s="6" t="n">
        <f aca="false">Sheet1_Original_Data!N243</f>
        <v>117593.97</v>
      </c>
      <c r="O244" s="4" t="n">
        <f aca="false">IF(Sheet1_Original_Data!J243="",MEDIAN(Sheet1_Original_Data!$J$4:$J$323),Sheet1_Original_Data!J243)</f>
        <v>4.62</v>
      </c>
      <c r="P244" s="4" t="n">
        <f aca="false">IF(Sheet1_Original_Data!L243="",MEDIAN(Sheet1_Original_Data!$L$4:$L$323),Sheet1_Original_Data!L243)</f>
        <v>3.3</v>
      </c>
    </row>
    <row r="245" customFormat="false" ht="15" hidden="false" customHeight="false" outlineLevel="0" collapsed="false">
      <c r="A245" s="6" t="str">
        <f aca="false">Sheet1_Original_Data!A244</f>
        <v>STR-1061</v>
      </c>
      <c r="B245" s="6" t="str">
        <f aca="false">Sheet1_Original_Data!B244</f>
        <v>2025-01-01</v>
      </c>
      <c r="C245" s="6" t="str">
        <f aca="false">Sheet1_Original_Data!C244</f>
        <v>South</v>
      </c>
      <c r="D245" s="6" t="str">
        <f aca="false">Sheet1_Original_Data!D244</f>
        <v>Airport</v>
      </c>
      <c r="E245" s="6" t="n">
        <f aca="false">Sheet1_Original_Data!E244</f>
        <v>69900.12</v>
      </c>
      <c r="F245" s="6" t="n">
        <f aca="false">Sheet1_Original_Data!F244</f>
        <v>8055</v>
      </c>
      <c r="G245" s="6" t="n">
        <f aca="false">Sheet1_Original_Data!G244</f>
        <v>0.281</v>
      </c>
      <c r="H245" s="6" t="n">
        <f aca="false">Sheet1_Original_Data!H244</f>
        <v>22</v>
      </c>
      <c r="I245" s="6" t="n">
        <f aca="false">Sheet1_Original_Data!I244</f>
        <v>85.6</v>
      </c>
      <c r="J245" s="6" t="n">
        <f aca="false">Sheet1_Original_Data!J244</f>
        <v>10.68</v>
      </c>
      <c r="K245" s="6" t="n">
        <f aca="false">Sheet1_Original_Data!K244</f>
        <v>1</v>
      </c>
      <c r="L245" s="6" t="n">
        <f aca="false">Sheet1_Original_Data!L244</f>
        <v>2.9</v>
      </c>
      <c r="M245" s="6" t="n">
        <f aca="false">Sheet1_Original_Data!M244</f>
        <v>776992.93</v>
      </c>
      <c r="N245" s="6" t="n">
        <f aca="false">Sheet1_Original_Data!N244</f>
        <v>101598.32</v>
      </c>
      <c r="O245" s="4" t="n">
        <f aca="false">IF(Sheet1_Original_Data!J244="",MEDIAN(Sheet1_Original_Data!$J$4:$J$323),Sheet1_Original_Data!J244)</f>
        <v>10.68</v>
      </c>
      <c r="P245" s="4" t="n">
        <f aca="false">IF(Sheet1_Original_Data!L244="",MEDIAN(Sheet1_Original_Data!$L$4:$L$323),Sheet1_Original_Data!L244)</f>
        <v>2.9</v>
      </c>
    </row>
    <row r="246" customFormat="false" ht="15" hidden="false" customHeight="false" outlineLevel="0" collapsed="false">
      <c r="A246" s="6" t="str">
        <f aca="false">Sheet1_Original_Data!A245</f>
        <v>STR-1061</v>
      </c>
      <c r="B246" s="6" t="str">
        <f aca="false">Sheet1_Original_Data!B245</f>
        <v>2025-02-01</v>
      </c>
      <c r="C246" s="6" t="str">
        <f aca="false">Sheet1_Original_Data!C245</f>
        <v>South</v>
      </c>
      <c r="D246" s="6" t="str">
        <f aca="false">Sheet1_Original_Data!D245</f>
        <v>Airport</v>
      </c>
      <c r="E246" s="6" t="n">
        <f aca="false">Sheet1_Original_Data!E245</f>
        <v>51781.6</v>
      </c>
      <c r="F246" s="6" t="n">
        <f aca="false">Sheet1_Original_Data!F245</f>
        <v>5648</v>
      </c>
      <c r="G246" s="6" t="n">
        <f aca="false">Sheet1_Original_Data!G245</f>
        <v>0.059</v>
      </c>
      <c r="H246" s="6" t="n">
        <f aca="false">Sheet1_Original_Data!H245</f>
        <v>13</v>
      </c>
      <c r="I246" s="6" t="n">
        <f aca="false">Sheet1_Original_Data!I245</f>
        <v>85.5</v>
      </c>
      <c r="J246" s="6" t="n">
        <f aca="false">Sheet1_Original_Data!J245</f>
        <v>4.04</v>
      </c>
      <c r="K246" s="6" t="n">
        <f aca="false">Sheet1_Original_Data!K245</f>
        <v>0</v>
      </c>
      <c r="L246" s="6" t="n">
        <f aca="false">Sheet1_Original_Data!L245</f>
        <v>3.7</v>
      </c>
      <c r="M246" s="6" t="n">
        <f aca="false">Sheet1_Original_Data!M245</f>
        <v>676337.41</v>
      </c>
      <c r="N246" s="6" t="n">
        <f aca="false">Sheet1_Original_Data!N245</f>
        <v>104355.77</v>
      </c>
      <c r="O246" s="4" t="n">
        <f aca="false">IF(Sheet1_Original_Data!J245="",MEDIAN(Sheet1_Original_Data!$J$4:$J$323),Sheet1_Original_Data!J245)</f>
        <v>4.04</v>
      </c>
      <c r="P246" s="4" t="n">
        <f aca="false">IF(Sheet1_Original_Data!L245="",MEDIAN(Sheet1_Original_Data!$L$4:$L$323),Sheet1_Original_Data!L245)</f>
        <v>3.7</v>
      </c>
    </row>
    <row r="247" customFormat="false" ht="15" hidden="false" customHeight="false" outlineLevel="0" collapsed="false">
      <c r="A247" s="6" t="str">
        <f aca="false">Sheet1_Original_Data!A246</f>
        <v>STR-1061</v>
      </c>
      <c r="B247" s="6" t="str">
        <f aca="false">Sheet1_Original_Data!B246</f>
        <v>2025-03-01</v>
      </c>
      <c r="C247" s="6" t="str">
        <f aca="false">Sheet1_Original_Data!C246</f>
        <v>South</v>
      </c>
      <c r="D247" s="6" t="str">
        <f aca="false">Sheet1_Original_Data!D246</f>
        <v>Airport</v>
      </c>
      <c r="E247" s="6" t="n">
        <f aca="false">Sheet1_Original_Data!E246</f>
        <v>70799.64</v>
      </c>
      <c r="F247" s="6" t="n">
        <f aca="false">Sheet1_Original_Data!F246</f>
        <v>10076</v>
      </c>
      <c r="G247" s="6" t="n">
        <f aca="false">Sheet1_Original_Data!G246</f>
        <v>0.152</v>
      </c>
      <c r="H247" s="6" t="n">
        <f aca="false">Sheet1_Original_Data!H246</f>
        <v>24</v>
      </c>
      <c r="I247" s="6" t="n">
        <f aca="false">Sheet1_Original_Data!I246</f>
        <v>84.8</v>
      </c>
      <c r="J247" s="6" t="n">
        <f aca="false">Sheet1_Original_Data!J246</f>
        <v>1.87</v>
      </c>
      <c r="K247" s="6" t="n">
        <f aca="false">Sheet1_Original_Data!K246</f>
        <v>0</v>
      </c>
      <c r="L247" s="6" t="n">
        <f aca="false">Sheet1_Original_Data!L246</f>
        <v>3.5</v>
      </c>
      <c r="M247" s="6" t="n">
        <f aca="false">Sheet1_Original_Data!M246</f>
        <v>828219.67</v>
      </c>
      <c r="N247" s="6" t="n">
        <f aca="false">Sheet1_Original_Data!N246</f>
        <v>179806.87</v>
      </c>
      <c r="O247" s="4" t="n">
        <f aca="false">IF(Sheet1_Original_Data!J246="",MEDIAN(Sheet1_Original_Data!$J$4:$J$323),Sheet1_Original_Data!J246)</f>
        <v>1.87</v>
      </c>
      <c r="P247" s="4" t="n">
        <f aca="false">IF(Sheet1_Original_Data!L246="",MEDIAN(Sheet1_Original_Data!$L$4:$L$323),Sheet1_Original_Data!L246)</f>
        <v>3.5</v>
      </c>
    </row>
    <row r="248" customFormat="false" ht="15" hidden="false" customHeight="false" outlineLevel="0" collapsed="false">
      <c r="A248" s="6" t="str">
        <f aca="false">Sheet1_Original_Data!A247</f>
        <v>STR-1061</v>
      </c>
      <c r="B248" s="6" t="str">
        <f aca="false">Sheet1_Original_Data!B247</f>
        <v>2025-04-01</v>
      </c>
      <c r="C248" s="6" t="str">
        <f aca="false">Sheet1_Original_Data!C247</f>
        <v>South</v>
      </c>
      <c r="D248" s="6" t="str">
        <f aca="false">Sheet1_Original_Data!D247</f>
        <v>Airport</v>
      </c>
      <c r="E248" s="6" t="n">
        <f aca="false">Sheet1_Original_Data!E247</f>
        <v>53546.34</v>
      </c>
      <c r="F248" s="6" t="n">
        <f aca="false">Sheet1_Original_Data!F247</f>
        <v>8004</v>
      </c>
      <c r="G248" s="6" t="n">
        <f aca="false">Sheet1_Original_Data!G247</f>
        <v>0</v>
      </c>
      <c r="H248" s="6" t="n">
        <f aca="false">Sheet1_Original_Data!H247</f>
        <v>21</v>
      </c>
      <c r="I248" s="6" t="n">
        <f aca="false">Sheet1_Original_Data!I247</f>
        <v>95.2</v>
      </c>
      <c r="J248" s="6" t="n">
        <f aca="false">Sheet1_Original_Data!J247</f>
        <v>2.83</v>
      </c>
      <c r="K248" s="6" t="n">
        <f aca="false">Sheet1_Original_Data!K247</f>
        <v>0</v>
      </c>
      <c r="L248" s="6" t="n">
        <f aca="false">Sheet1_Original_Data!L247</f>
        <v>3</v>
      </c>
      <c r="M248" s="6" t="n">
        <f aca="false">Sheet1_Original_Data!M247</f>
        <v>763159.92</v>
      </c>
      <c r="N248" s="6" t="n">
        <f aca="false">Sheet1_Original_Data!N247</f>
        <v>177104.87</v>
      </c>
      <c r="O248" s="4" t="n">
        <f aca="false">IF(Sheet1_Original_Data!J247="",MEDIAN(Sheet1_Original_Data!$J$4:$J$323),Sheet1_Original_Data!J247)</f>
        <v>2.83</v>
      </c>
      <c r="P248" s="4" t="n">
        <f aca="false">IF(Sheet1_Original_Data!L247="",MEDIAN(Sheet1_Original_Data!$L$4:$L$323),Sheet1_Original_Data!L247)</f>
        <v>3</v>
      </c>
    </row>
    <row r="249" customFormat="false" ht="15" hidden="false" customHeight="false" outlineLevel="0" collapsed="false">
      <c r="A249" s="6" t="str">
        <f aca="false">Sheet1_Original_Data!A248</f>
        <v>STR-1062</v>
      </c>
      <c r="B249" s="6" t="str">
        <f aca="false">Sheet1_Original_Data!B248</f>
        <v>2025-01-01</v>
      </c>
      <c r="C249" s="6" t="str">
        <f aca="false">Sheet1_Original_Data!C248</f>
        <v>East</v>
      </c>
      <c r="D249" s="6" t="str">
        <f aca="false">Sheet1_Original_Data!D248</f>
        <v>High Street</v>
      </c>
      <c r="E249" s="6" t="n">
        <f aca="false">Sheet1_Original_Data!E248</f>
        <v>76942.2</v>
      </c>
      <c r="F249" s="6" t="n">
        <f aca="false">Sheet1_Original_Data!F248</f>
        <v>8934</v>
      </c>
      <c r="G249" s="6" t="n">
        <f aca="false">Sheet1_Original_Data!G248</f>
        <v>0.084</v>
      </c>
      <c r="H249" s="6" t="n">
        <f aca="false">Sheet1_Original_Data!H248</f>
        <v>20</v>
      </c>
      <c r="I249" s="6" t="n">
        <f aca="false">Sheet1_Original_Data!I248</f>
        <v>91</v>
      </c>
      <c r="J249" s="6" t="n">
        <f aca="false">Sheet1_Original_Data!J248</f>
        <v>0.95</v>
      </c>
      <c r="K249" s="6" t="n">
        <f aca="false">Sheet1_Original_Data!K248</f>
        <v>0</v>
      </c>
      <c r="L249" s="6" t="n">
        <f aca="false">Sheet1_Original_Data!L248</f>
        <v>3.2</v>
      </c>
      <c r="M249" s="6" t="n">
        <f aca="false">Sheet1_Original_Data!M248</f>
        <v>802001.68</v>
      </c>
      <c r="N249" s="6" t="n">
        <f aca="false">Sheet1_Original_Data!N248</f>
        <v>159715.82</v>
      </c>
      <c r="O249" s="4" t="n">
        <f aca="false">IF(Sheet1_Original_Data!J248="",MEDIAN(Sheet1_Original_Data!$J$4:$J$323),Sheet1_Original_Data!J248)</f>
        <v>0.95</v>
      </c>
      <c r="P249" s="4" t="n">
        <f aca="false">IF(Sheet1_Original_Data!L248="",MEDIAN(Sheet1_Original_Data!$L$4:$L$323),Sheet1_Original_Data!L248)</f>
        <v>3.2</v>
      </c>
    </row>
    <row r="250" customFormat="false" ht="15" hidden="false" customHeight="false" outlineLevel="0" collapsed="false">
      <c r="A250" s="6" t="str">
        <f aca="false">Sheet1_Original_Data!A249</f>
        <v>STR-1062</v>
      </c>
      <c r="B250" s="6" t="str">
        <f aca="false">Sheet1_Original_Data!B249</f>
        <v>2025-02-01</v>
      </c>
      <c r="C250" s="6" t="str">
        <f aca="false">Sheet1_Original_Data!C249</f>
        <v>East</v>
      </c>
      <c r="D250" s="6" t="str">
        <f aca="false">Sheet1_Original_Data!D249</f>
        <v>High Street</v>
      </c>
      <c r="E250" s="6" t="n">
        <f aca="false">Sheet1_Original_Data!E249</f>
        <v>48060.78</v>
      </c>
      <c r="F250" s="6" t="n">
        <f aca="false">Sheet1_Original_Data!F249</f>
        <v>8733</v>
      </c>
      <c r="G250" s="6" t="n">
        <f aca="false">Sheet1_Original_Data!G249</f>
        <v>0</v>
      </c>
      <c r="H250" s="6" t="n">
        <f aca="false">Sheet1_Original_Data!H249</f>
        <v>20</v>
      </c>
      <c r="I250" s="6" t="n">
        <f aca="false">Sheet1_Original_Data!I249</f>
        <v>89.9</v>
      </c>
      <c r="J250" s="6" t="n">
        <f aca="false">Sheet1_Original_Data!J249</f>
        <v>0.8</v>
      </c>
      <c r="K250" s="6" t="n">
        <f aca="false">Sheet1_Original_Data!K249</f>
        <v>0</v>
      </c>
      <c r="L250" s="6" t="n">
        <f aca="false">Sheet1_Original_Data!L249</f>
        <v>3.4</v>
      </c>
      <c r="M250" s="6" t="n">
        <f aca="false">Sheet1_Original_Data!M249</f>
        <v>750471.34</v>
      </c>
      <c r="N250" s="6" t="n">
        <f aca="false">Sheet1_Original_Data!N249</f>
        <v>133788.04</v>
      </c>
      <c r="O250" s="4" t="n">
        <f aca="false">IF(Sheet1_Original_Data!J249="",MEDIAN(Sheet1_Original_Data!$J$4:$J$323),Sheet1_Original_Data!J249)</f>
        <v>0.8</v>
      </c>
      <c r="P250" s="4" t="n">
        <f aca="false">IF(Sheet1_Original_Data!L249="",MEDIAN(Sheet1_Original_Data!$L$4:$L$323),Sheet1_Original_Data!L249)</f>
        <v>3.4</v>
      </c>
    </row>
    <row r="251" customFormat="false" ht="15" hidden="false" customHeight="false" outlineLevel="0" collapsed="false">
      <c r="A251" s="6" t="str">
        <f aca="false">Sheet1_Original_Data!A250</f>
        <v>STR-1062</v>
      </c>
      <c r="B251" s="6" t="str">
        <f aca="false">Sheet1_Original_Data!B250</f>
        <v>2025-03-01</v>
      </c>
      <c r="C251" s="6" t="str">
        <f aca="false">Sheet1_Original_Data!C250</f>
        <v>East</v>
      </c>
      <c r="D251" s="6" t="str">
        <f aca="false">Sheet1_Original_Data!D250</f>
        <v>High Street</v>
      </c>
      <c r="E251" s="6" t="n">
        <f aca="false">Sheet1_Original_Data!E250</f>
        <v>57390.04</v>
      </c>
      <c r="F251" s="6" t="n">
        <f aca="false">Sheet1_Original_Data!F250</f>
        <v>7374</v>
      </c>
      <c r="G251" s="6" t="n">
        <f aca="false">Sheet1_Original_Data!G250</f>
        <v>0.21</v>
      </c>
      <c r="H251" s="6" t="n">
        <f aca="false">Sheet1_Original_Data!H250</f>
        <v>21</v>
      </c>
      <c r="I251" s="6" t="n">
        <f aca="false">Sheet1_Original_Data!I250</f>
        <v>91.8</v>
      </c>
      <c r="J251" s="6" t="n">
        <f aca="false">Sheet1_Original_Data!J250</f>
        <v>0.2</v>
      </c>
      <c r="K251" s="6" t="n">
        <f aca="false">Sheet1_Original_Data!K250</f>
        <v>0</v>
      </c>
      <c r="L251" s="6" t="n">
        <f aca="false">Sheet1_Original_Data!L250</f>
        <v>3.1</v>
      </c>
      <c r="M251" s="6" t="n">
        <f aca="false">Sheet1_Original_Data!M250</f>
        <v>679230.86</v>
      </c>
      <c r="N251" s="6" t="n">
        <f aca="false">Sheet1_Original_Data!N250</f>
        <v>106927.58</v>
      </c>
      <c r="O251" s="4" t="n">
        <f aca="false">IF(Sheet1_Original_Data!J250="",MEDIAN(Sheet1_Original_Data!$J$4:$J$323),Sheet1_Original_Data!J250)</f>
        <v>0.2</v>
      </c>
      <c r="P251" s="4" t="n">
        <f aca="false">IF(Sheet1_Original_Data!L250="",MEDIAN(Sheet1_Original_Data!$L$4:$L$323),Sheet1_Original_Data!L250)</f>
        <v>3.1</v>
      </c>
    </row>
    <row r="252" customFormat="false" ht="15" hidden="false" customHeight="false" outlineLevel="0" collapsed="false">
      <c r="A252" s="6" t="str">
        <f aca="false">Sheet1_Original_Data!A251</f>
        <v>STR-1062</v>
      </c>
      <c r="B252" s="6" t="str">
        <f aca="false">Sheet1_Original_Data!B251</f>
        <v>2025-04-01</v>
      </c>
      <c r="C252" s="6" t="str">
        <f aca="false">Sheet1_Original_Data!C251</f>
        <v>East</v>
      </c>
      <c r="D252" s="6" t="str">
        <f aca="false">Sheet1_Original_Data!D251</f>
        <v>High Street</v>
      </c>
      <c r="E252" s="6" t="n">
        <f aca="false">Sheet1_Original_Data!E251</f>
        <v>21536.18</v>
      </c>
      <c r="F252" s="6" t="n">
        <f aca="false">Sheet1_Original_Data!F251</f>
        <v>8119</v>
      </c>
      <c r="G252" s="6" t="n">
        <f aca="false">Sheet1_Original_Data!G251</f>
        <v>0.227</v>
      </c>
      <c r="H252" s="6" t="n">
        <f aca="false">Sheet1_Original_Data!H251</f>
        <v>20</v>
      </c>
      <c r="I252" s="6" t="n">
        <f aca="false">Sheet1_Original_Data!I251</f>
        <v>90.4</v>
      </c>
      <c r="J252" s="6" t="n">
        <f aca="false">Sheet1_Original_Data!J251</f>
        <v>1.7</v>
      </c>
      <c r="K252" s="6" t="n">
        <f aca="false">Sheet1_Original_Data!K251</f>
        <v>0</v>
      </c>
      <c r="L252" s="6" t="n">
        <f aca="false">Sheet1_Original_Data!L251</f>
        <v>3.3</v>
      </c>
      <c r="M252" s="6" t="n">
        <f aca="false">Sheet1_Original_Data!M251</f>
        <v>679888.74</v>
      </c>
      <c r="N252" s="6" t="n">
        <f aca="false">Sheet1_Original_Data!N251</f>
        <v>83406.89</v>
      </c>
      <c r="O252" s="4" t="n">
        <f aca="false">IF(Sheet1_Original_Data!J251="",MEDIAN(Sheet1_Original_Data!$J$4:$J$323),Sheet1_Original_Data!J251)</f>
        <v>1.7</v>
      </c>
      <c r="P252" s="4" t="n">
        <f aca="false">IF(Sheet1_Original_Data!L251="",MEDIAN(Sheet1_Original_Data!$L$4:$L$323),Sheet1_Original_Data!L251)</f>
        <v>3.3</v>
      </c>
    </row>
    <row r="253" customFormat="false" ht="15" hidden="false" customHeight="false" outlineLevel="0" collapsed="false">
      <c r="A253" s="6" t="str">
        <f aca="false">Sheet1_Original_Data!A252</f>
        <v>STR-1063</v>
      </c>
      <c r="B253" s="6" t="str">
        <f aca="false">Sheet1_Original_Data!B252</f>
        <v>2025-01-01</v>
      </c>
      <c r="C253" s="6" t="str">
        <f aca="false">Sheet1_Original_Data!C252</f>
        <v>North</v>
      </c>
      <c r="D253" s="6" t="str">
        <f aca="false">Sheet1_Original_Data!D252</f>
        <v>High Street</v>
      </c>
      <c r="E253" s="6" t="n">
        <f aca="false">Sheet1_Original_Data!E252</f>
        <v>40923.67</v>
      </c>
      <c r="F253" s="6" t="n">
        <f aca="false">Sheet1_Original_Data!F252</f>
        <v>3875</v>
      </c>
      <c r="G253" s="6" t="n">
        <f aca="false">Sheet1_Original_Data!G252</f>
        <v>0.15</v>
      </c>
      <c r="H253" s="6" t="n">
        <f aca="false">Sheet1_Original_Data!H252</f>
        <v>10</v>
      </c>
      <c r="I253" s="6" t="n">
        <f aca="false">Sheet1_Original_Data!I252</f>
        <v>96.1</v>
      </c>
      <c r="J253" s="6" t="n">
        <f aca="false">Sheet1_Original_Data!J252</f>
        <v>0</v>
      </c>
      <c r="K253" s="6" t="n">
        <f aca="false">Sheet1_Original_Data!K252</f>
        <v>0</v>
      </c>
      <c r="L253" s="6" t="n">
        <f aca="false">Sheet1_Original_Data!L252</f>
        <v>3.8</v>
      </c>
      <c r="M253" s="6" t="n">
        <f aca="false">Sheet1_Original_Data!M252</f>
        <v>606783.67</v>
      </c>
      <c r="N253" s="6" t="n">
        <f aca="false">Sheet1_Original_Data!N252</f>
        <v>74515.87</v>
      </c>
      <c r="O253" s="4" t="n">
        <f aca="false">IF(Sheet1_Original_Data!J252="",MEDIAN(Sheet1_Original_Data!$J$4:$J$323),Sheet1_Original_Data!J252)</f>
        <v>3.365</v>
      </c>
      <c r="P253" s="4" t="n">
        <f aca="false">IF(Sheet1_Original_Data!L252="",MEDIAN(Sheet1_Original_Data!$L$4:$L$323),Sheet1_Original_Data!L252)</f>
        <v>3.8</v>
      </c>
    </row>
    <row r="254" customFormat="false" ht="15" hidden="false" customHeight="false" outlineLevel="0" collapsed="false">
      <c r="A254" s="6" t="str">
        <f aca="false">Sheet1_Original_Data!A253</f>
        <v>STR-1063</v>
      </c>
      <c r="B254" s="6" t="str">
        <f aca="false">Sheet1_Original_Data!B253</f>
        <v>2025-02-01</v>
      </c>
      <c r="C254" s="6" t="str">
        <f aca="false">Sheet1_Original_Data!C253</f>
        <v>North</v>
      </c>
      <c r="D254" s="6" t="str">
        <f aca="false">Sheet1_Original_Data!D253</f>
        <v>High Street</v>
      </c>
      <c r="E254" s="6" t="n">
        <f aca="false">Sheet1_Original_Data!E253</f>
        <v>72932.55</v>
      </c>
      <c r="F254" s="6" t="n">
        <f aca="false">Sheet1_Original_Data!F253</f>
        <v>5765</v>
      </c>
      <c r="G254" s="6" t="n">
        <f aca="false">Sheet1_Original_Data!G253</f>
        <v>0.026</v>
      </c>
      <c r="H254" s="6" t="n">
        <f aca="false">Sheet1_Original_Data!H253</f>
        <v>17</v>
      </c>
      <c r="I254" s="6" t="n">
        <f aca="false">Sheet1_Original_Data!I253</f>
        <v>81.8</v>
      </c>
      <c r="J254" s="6" t="n">
        <f aca="false">Sheet1_Original_Data!J253</f>
        <v>5.1</v>
      </c>
      <c r="K254" s="6" t="n">
        <f aca="false">Sheet1_Original_Data!K253</f>
        <v>0</v>
      </c>
      <c r="L254" s="6" t="n">
        <f aca="false">Sheet1_Original_Data!L253</f>
        <v>3.6</v>
      </c>
      <c r="M254" s="6" t="n">
        <f aca="false">Sheet1_Original_Data!M253</f>
        <v>642751.42</v>
      </c>
      <c r="N254" s="6" t="n">
        <f aca="false">Sheet1_Original_Data!N253</f>
        <v>131942.15</v>
      </c>
      <c r="O254" s="4" t="n">
        <f aca="false">IF(Sheet1_Original_Data!J253="",MEDIAN(Sheet1_Original_Data!$J$4:$J$323),Sheet1_Original_Data!J253)</f>
        <v>5.1</v>
      </c>
      <c r="P254" s="4" t="n">
        <f aca="false">IF(Sheet1_Original_Data!L253="",MEDIAN(Sheet1_Original_Data!$L$4:$L$323),Sheet1_Original_Data!L253)</f>
        <v>3.6</v>
      </c>
    </row>
    <row r="255" customFormat="false" ht="15" hidden="false" customHeight="false" outlineLevel="0" collapsed="false">
      <c r="A255" s="6" t="str">
        <f aca="false">Sheet1_Original_Data!A254</f>
        <v>STR-1063</v>
      </c>
      <c r="B255" s="6" t="str">
        <f aca="false">Sheet1_Original_Data!B254</f>
        <v>2025-03-01</v>
      </c>
      <c r="C255" s="6" t="str">
        <f aca="false">Sheet1_Original_Data!C254</f>
        <v>North</v>
      </c>
      <c r="D255" s="6" t="str">
        <f aca="false">Sheet1_Original_Data!D254</f>
        <v>High Street</v>
      </c>
      <c r="E255" s="6" t="n">
        <f aca="false">Sheet1_Original_Data!E254</f>
        <v>38361.93</v>
      </c>
      <c r="F255" s="6" t="n">
        <f aca="false">Sheet1_Original_Data!F254</f>
        <v>6322</v>
      </c>
      <c r="G255" s="6" t="n">
        <f aca="false">Sheet1_Original_Data!G254</f>
        <v>0.273</v>
      </c>
      <c r="H255" s="6" t="n">
        <f aca="false">Sheet1_Original_Data!H254</f>
        <v>15</v>
      </c>
      <c r="I255" s="6" t="n">
        <f aca="false">Sheet1_Original_Data!I254</f>
        <v>88.4</v>
      </c>
      <c r="J255" s="6" t="n">
        <f aca="false">Sheet1_Original_Data!J254</f>
        <v>0.83</v>
      </c>
      <c r="K255" s="6" t="n">
        <f aca="false">Sheet1_Original_Data!K254</f>
        <v>0</v>
      </c>
      <c r="L255" s="6" t="n">
        <f aca="false">Sheet1_Original_Data!L254</f>
        <v>4</v>
      </c>
      <c r="M255" s="6" t="n">
        <f aca="false">Sheet1_Original_Data!M254</f>
        <v>647953.78</v>
      </c>
      <c r="N255" s="6" t="n">
        <f aca="false">Sheet1_Original_Data!N254</f>
        <v>118497.43</v>
      </c>
      <c r="O255" s="4" t="n">
        <f aca="false">IF(Sheet1_Original_Data!J254="",MEDIAN(Sheet1_Original_Data!$J$4:$J$323),Sheet1_Original_Data!J254)</f>
        <v>0.83</v>
      </c>
      <c r="P255" s="4" t="n">
        <f aca="false">IF(Sheet1_Original_Data!L254="",MEDIAN(Sheet1_Original_Data!$L$4:$L$323),Sheet1_Original_Data!L254)</f>
        <v>4</v>
      </c>
    </row>
    <row r="256" customFormat="false" ht="15" hidden="false" customHeight="false" outlineLevel="0" collapsed="false">
      <c r="A256" s="6" t="str">
        <f aca="false">Sheet1_Original_Data!A255</f>
        <v>STR-1063</v>
      </c>
      <c r="B256" s="6" t="str">
        <f aca="false">Sheet1_Original_Data!B255</f>
        <v>2025-04-01</v>
      </c>
      <c r="C256" s="6" t="str">
        <f aca="false">Sheet1_Original_Data!C255</f>
        <v>North</v>
      </c>
      <c r="D256" s="6" t="str">
        <f aca="false">Sheet1_Original_Data!D255</f>
        <v>High Street</v>
      </c>
      <c r="E256" s="6" t="n">
        <f aca="false">Sheet1_Original_Data!E255</f>
        <v>97480.94</v>
      </c>
      <c r="F256" s="6" t="n">
        <f aca="false">Sheet1_Original_Data!F255</f>
        <v>6840</v>
      </c>
      <c r="G256" s="6" t="n">
        <f aca="false">Sheet1_Original_Data!G255</f>
        <v>0.087</v>
      </c>
      <c r="H256" s="6" t="n">
        <f aca="false">Sheet1_Original_Data!H255</f>
        <v>14</v>
      </c>
      <c r="I256" s="6" t="n">
        <f aca="false">Sheet1_Original_Data!I255</f>
        <v>79.2</v>
      </c>
      <c r="J256" s="6" t="n">
        <f aca="false">Sheet1_Original_Data!J255</f>
        <v>1.14</v>
      </c>
      <c r="K256" s="6" t="n">
        <f aca="false">Sheet1_Original_Data!K255</f>
        <v>0</v>
      </c>
      <c r="L256" s="6" t="n">
        <f aca="false">Sheet1_Original_Data!L255</f>
        <v>4</v>
      </c>
      <c r="M256" s="6" t="n">
        <f aca="false">Sheet1_Original_Data!M255</f>
        <v>729440.45</v>
      </c>
      <c r="N256" s="6" t="n">
        <f aca="false">Sheet1_Original_Data!N255</f>
        <v>87614.29</v>
      </c>
      <c r="O256" s="4" t="n">
        <f aca="false">IF(Sheet1_Original_Data!J255="",MEDIAN(Sheet1_Original_Data!$J$4:$J$323),Sheet1_Original_Data!J255)</f>
        <v>1.14</v>
      </c>
      <c r="P256" s="4" t="n">
        <f aca="false">IF(Sheet1_Original_Data!L255="",MEDIAN(Sheet1_Original_Data!$L$4:$L$323),Sheet1_Original_Data!L255)</f>
        <v>4</v>
      </c>
    </row>
    <row r="257" customFormat="false" ht="15" hidden="false" customHeight="false" outlineLevel="0" collapsed="false">
      <c r="A257" s="6" t="str">
        <f aca="false">Sheet1_Original_Data!A256</f>
        <v>STR-1064</v>
      </c>
      <c r="B257" s="6" t="str">
        <f aca="false">Sheet1_Original_Data!B256</f>
        <v>2025-01-01</v>
      </c>
      <c r="C257" s="6" t="str">
        <f aca="false">Sheet1_Original_Data!C256</f>
        <v>South</v>
      </c>
      <c r="D257" s="6" t="str">
        <f aca="false">Sheet1_Original_Data!D256</f>
        <v>Airport</v>
      </c>
      <c r="E257" s="6" t="n">
        <f aca="false">Sheet1_Original_Data!E256</f>
        <v>81801.8</v>
      </c>
      <c r="F257" s="6" t="n">
        <f aca="false">Sheet1_Original_Data!F256</f>
        <v>6782</v>
      </c>
      <c r="G257" s="6" t="n">
        <f aca="false">Sheet1_Original_Data!G256</f>
        <v>0.05</v>
      </c>
      <c r="H257" s="6" t="n">
        <f aca="false">Sheet1_Original_Data!H256</f>
        <v>16</v>
      </c>
      <c r="I257" s="6" t="n">
        <f aca="false">Sheet1_Original_Data!I256</f>
        <v>99</v>
      </c>
      <c r="J257" s="6" t="n">
        <f aca="false">Sheet1_Original_Data!J256</f>
        <v>9.54</v>
      </c>
      <c r="K257" s="6" t="n">
        <f aca="false">Sheet1_Original_Data!K256</f>
        <v>0</v>
      </c>
      <c r="L257" s="6" t="n">
        <f aca="false">Sheet1_Original_Data!L256</f>
        <v>3.7</v>
      </c>
      <c r="M257" s="6" t="n">
        <f aca="false">Sheet1_Original_Data!M256</f>
        <v>764949</v>
      </c>
      <c r="N257" s="6" t="n">
        <f aca="false">Sheet1_Original_Data!N256</f>
        <v>148322.43</v>
      </c>
      <c r="O257" s="4" t="n">
        <f aca="false">IF(Sheet1_Original_Data!J256="",MEDIAN(Sheet1_Original_Data!$J$4:$J$323),Sheet1_Original_Data!J256)</f>
        <v>9.54</v>
      </c>
      <c r="P257" s="4" t="n">
        <f aca="false">IF(Sheet1_Original_Data!L256="",MEDIAN(Sheet1_Original_Data!$L$4:$L$323),Sheet1_Original_Data!L256)</f>
        <v>3.7</v>
      </c>
    </row>
    <row r="258" customFormat="false" ht="15" hidden="false" customHeight="false" outlineLevel="0" collapsed="false">
      <c r="A258" s="6" t="str">
        <f aca="false">Sheet1_Original_Data!A257</f>
        <v>STR-1064</v>
      </c>
      <c r="B258" s="6" t="str">
        <f aca="false">Sheet1_Original_Data!B257</f>
        <v>2025-02-01</v>
      </c>
      <c r="C258" s="6" t="str">
        <f aca="false">Sheet1_Original_Data!C257</f>
        <v>South</v>
      </c>
      <c r="D258" s="6" t="str">
        <f aca="false">Sheet1_Original_Data!D257</f>
        <v>Airport</v>
      </c>
      <c r="E258" s="6" t="n">
        <f aca="false">Sheet1_Original_Data!E257</f>
        <v>63582.11</v>
      </c>
      <c r="F258" s="6" t="n">
        <f aca="false">Sheet1_Original_Data!F257</f>
        <v>6856</v>
      </c>
      <c r="G258" s="6" t="n">
        <f aca="false">Sheet1_Original_Data!G257</f>
        <v>0.074</v>
      </c>
      <c r="H258" s="6" t="n">
        <f aca="false">Sheet1_Original_Data!H257</f>
        <v>17</v>
      </c>
      <c r="I258" s="6" t="n">
        <f aca="false">Sheet1_Original_Data!I257</f>
        <v>89.5</v>
      </c>
      <c r="J258" s="6" t="n">
        <f aca="false">Sheet1_Original_Data!J257</f>
        <v>5.48</v>
      </c>
      <c r="K258" s="6" t="n">
        <f aca="false">Sheet1_Original_Data!K257</f>
        <v>0</v>
      </c>
      <c r="L258" s="6" t="n">
        <f aca="false">Sheet1_Original_Data!L257</f>
        <v>3.2</v>
      </c>
      <c r="M258" s="6" t="n">
        <f aca="false">Sheet1_Original_Data!M257</f>
        <v>799046.94</v>
      </c>
      <c r="N258" s="6" t="n">
        <f aca="false">Sheet1_Original_Data!N257</f>
        <v>144553.64</v>
      </c>
      <c r="O258" s="4" t="n">
        <f aca="false">IF(Sheet1_Original_Data!J257="",MEDIAN(Sheet1_Original_Data!$J$4:$J$323),Sheet1_Original_Data!J257)</f>
        <v>5.48</v>
      </c>
      <c r="P258" s="4" t="n">
        <f aca="false">IF(Sheet1_Original_Data!L257="",MEDIAN(Sheet1_Original_Data!$L$4:$L$323),Sheet1_Original_Data!L257)</f>
        <v>3.2</v>
      </c>
    </row>
    <row r="259" customFormat="false" ht="15" hidden="false" customHeight="false" outlineLevel="0" collapsed="false">
      <c r="A259" s="6" t="str">
        <f aca="false">Sheet1_Original_Data!A258</f>
        <v>STR-1064</v>
      </c>
      <c r="B259" s="6" t="str">
        <f aca="false">Sheet1_Original_Data!B258</f>
        <v>2025-03-01</v>
      </c>
      <c r="C259" s="6" t="str">
        <f aca="false">Sheet1_Original_Data!C258</f>
        <v>South</v>
      </c>
      <c r="D259" s="6" t="str">
        <f aca="false">Sheet1_Original_Data!D258</f>
        <v>Airport</v>
      </c>
      <c r="E259" s="6" t="n">
        <f aca="false">Sheet1_Original_Data!E258</f>
        <v>75412.74</v>
      </c>
      <c r="F259" s="6" t="n">
        <f aca="false">Sheet1_Original_Data!F258</f>
        <v>5641</v>
      </c>
      <c r="G259" s="6" t="n">
        <f aca="false">Sheet1_Original_Data!G258</f>
        <v>0.059</v>
      </c>
      <c r="H259" s="6" t="n">
        <f aca="false">Sheet1_Original_Data!H258</f>
        <v>13</v>
      </c>
      <c r="I259" s="6" t="n">
        <f aca="false">Sheet1_Original_Data!I258</f>
        <v>87.9</v>
      </c>
      <c r="J259" s="6" t="n">
        <f aca="false">Sheet1_Original_Data!J258</f>
        <v>0.84</v>
      </c>
      <c r="K259" s="6" t="n">
        <f aca="false">Sheet1_Original_Data!K258</f>
        <v>0</v>
      </c>
      <c r="L259" s="6" t="n">
        <f aca="false">Sheet1_Original_Data!L258</f>
        <v>3.6</v>
      </c>
      <c r="M259" s="6" t="n">
        <f aca="false">Sheet1_Original_Data!M258</f>
        <v>720079.54</v>
      </c>
      <c r="N259" s="6" t="n">
        <f aca="false">Sheet1_Original_Data!N258</f>
        <v>119499.47</v>
      </c>
      <c r="O259" s="4" t="n">
        <f aca="false">IF(Sheet1_Original_Data!J258="",MEDIAN(Sheet1_Original_Data!$J$4:$J$323),Sheet1_Original_Data!J258)</f>
        <v>0.84</v>
      </c>
      <c r="P259" s="4" t="n">
        <f aca="false">IF(Sheet1_Original_Data!L258="",MEDIAN(Sheet1_Original_Data!$L$4:$L$323),Sheet1_Original_Data!L258)</f>
        <v>3.6</v>
      </c>
    </row>
    <row r="260" customFormat="false" ht="15" hidden="false" customHeight="false" outlineLevel="0" collapsed="false">
      <c r="A260" s="6" t="str">
        <f aca="false">Sheet1_Original_Data!A259</f>
        <v>STR-1064</v>
      </c>
      <c r="B260" s="6" t="str">
        <f aca="false">Sheet1_Original_Data!B259</f>
        <v>2025-04-01</v>
      </c>
      <c r="C260" s="6" t="str">
        <f aca="false">Sheet1_Original_Data!C259</f>
        <v>South</v>
      </c>
      <c r="D260" s="6" t="str">
        <f aca="false">Sheet1_Original_Data!D259</f>
        <v>Airport</v>
      </c>
      <c r="E260" s="6" t="n">
        <f aca="false">Sheet1_Original_Data!E259</f>
        <v>36290.08</v>
      </c>
      <c r="F260" s="6" t="n">
        <f aca="false">Sheet1_Original_Data!F259</f>
        <v>5787</v>
      </c>
      <c r="G260" s="6" t="n">
        <f aca="false">Sheet1_Original_Data!G259</f>
        <v>0</v>
      </c>
      <c r="H260" s="6" t="n">
        <f aca="false">Sheet1_Original_Data!H259</f>
        <v>17</v>
      </c>
      <c r="I260" s="6" t="n">
        <f aca="false">Sheet1_Original_Data!I259</f>
        <v>88.3</v>
      </c>
      <c r="J260" s="6" t="n">
        <f aca="false">Sheet1_Original_Data!J259</f>
        <v>4.19</v>
      </c>
      <c r="K260" s="6" t="n">
        <f aca="false">Sheet1_Original_Data!K259</f>
        <v>0</v>
      </c>
      <c r="L260" s="6" t="n">
        <f aca="false">Sheet1_Original_Data!L259</f>
        <v>4.1</v>
      </c>
      <c r="M260" s="6" t="n">
        <f aca="false">Sheet1_Original_Data!M259</f>
        <v>612390.14</v>
      </c>
      <c r="N260" s="6" t="n">
        <f aca="false">Sheet1_Original_Data!N259</f>
        <v>108985.74</v>
      </c>
      <c r="O260" s="4" t="n">
        <f aca="false">IF(Sheet1_Original_Data!J259="",MEDIAN(Sheet1_Original_Data!$J$4:$J$323),Sheet1_Original_Data!J259)</f>
        <v>4.19</v>
      </c>
      <c r="P260" s="4" t="n">
        <f aca="false">IF(Sheet1_Original_Data!L259="",MEDIAN(Sheet1_Original_Data!$L$4:$L$323),Sheet1_Original_Data!L259)</f>
        <v>4.1</v>
      </c>
    </row>
    <row r="261" customFormat="false" ht="15" hidden="false" customHeight="false" outlineLevel="0" collapsed="false">
      <c r="A261" s="6" t="str">
        <f aca="false">Sheet1_Original_Data!A260</f>
        <v>STR-1065</v>
      </c>
      <c r="B261" s="6" t="str">
        <f aca="false">Sheet1_Original_Data!B260</f>
        <v>2025-01-01</v>
      </c>
      <c r="C261" s="6" t="str">
        <f aca="false">Sheet1_Original_Data!C260</f>
        <v>South</v>
      </c>
      <c r="D261" s="6" t="str">
        <f aca="false">Sheet1_Original_Data!D260</f>
        <v>Mall</v>
      </c>
      <c r="E261" s="6" t="n">
        <f aca="false">Sheet1_Original_Data!E260</f>
        <v>65272.58</v>
      </c>
      <c r="F261" s="6" t="n">
        <f aca="false">Sheet1_Original_Data!F260</f>
        <v>8165</v>
      </c>
      <c r="G261" s="6" t="n">
        <f aca="false">Sheet1_Original_Data!G260</f>
        <v>0.051</v>
      </c>
      <c r="H261" s="6" t="n">
        <f aca="false">Sheet1_Original_Data!H260</f>
        <v>19</v>
      </c>
      <c r="I261" s="6" t="n">
        <f aca="false">Sheet1_Original_Data!I260</f>
        <v>87.8</v>
      </c>
      <c r="J261" s="6" t="n">
        <f aca="false">Sheet1_Original_Data!J260</f>
        <v>1.26</v>
      </c>
      <c r="K261" s="6" t="n">
        <f aca="false">Sheet1_Original_Data!K260</f>
        <v>1</v>
      </c>
      <c r="L261" s="6" t="n">
        <f aca="false">Sheet1_Original_Data!L260</f>
        <v>4.3</v>
      </c>
      <c r="M261" s="6" t="n">
        <f aca="false">Sheet1_Original_Data!M260</f>
        <v>840108.12</v>
      </c>
      <c r="N261" s="6" t="n">
        <f aca="false">Sheet1_Original_Data!N260</f>
        <v>126587.01</v>
      </c>
      <c r="O261" s="4" t="n">
        <f aca="false">IF(Sheet1_Original_Data!J260="",MEDIAN(Sheet1_Original_Data!$J$4:$J$323),Sheet1_Original_Data!J260)</f>
        <v>1.26</v>
      </c>
      <c r="P261" s="4" t="n">
        <f aca="false">IF(Sheet1_Original_Data!L260="",MEDIAN(Sheet1_Original_Data!$L$4:$L$323),Sheet1_Original_Data!L260)</f>
        <v>4.3</v>
      </c>
    </row>
    <row r="262" customFormat="false" ht="15" hidden="false" customHeight="false" outlineLevel="0" collapsed="false">
      <c r="A262" s="6" t="str">
        <f aca="false">Sheet1_Original_Data!A261</f>
        <v>STR-1065</v>
      </c>
      <c r="B262" s="6" t="str">
        <f aca="false">Sheet1_Original_Data!B261</f>
        <v>2025-02-01</v>
      </c>
      <c r="C262" s="6" t="str">
        <f aca="false">Sheet1_Original_Data!C261</f>
        <v>South</v>
      </c>
      <c r="D262" s="6" t="str">
        <f aca="false">Sheet1_Original_Data!D261</f>
        <v>Mall</v>
      </c>
      <c r="E262" s="6" t="n">
        <f aca="false">Sheet1_Original_Data!E261</f>
        <v>28670.43</v>
      </c>
      <c r="F262" s="6" t="n">
        <f aca="false">Sheet1_Original_Data!F261</f>
        <v>7574</v>
      </c>
      <c r="G262" s="6" t="n">
        <f aca="false">Sheet1_Original_Data!G261</f>
        <v>0.114</v>
      </c>
      <c r="H262" s="6" t="n">
        <f aca="false">Sheet1_Original_Data!H261</f>
        <v>19</v>
      </c>
      <c r="I262" s="6" t="n">
        <f aca="false">Sheet1_Original_Data!I261</f>
        <v>82.7</v>
      </c>
      <c r="J262" s="6" t="n">
        <f aca="false">Sheet1_Original_Data!J261</f>
        <v>2.74</v>
      </c>
      <c r="K262" s="6" t="n">
        <f aca="false">Sheet1_Original_Data!K261</f>
        <v>0</v>
      </c>
      <c r="L262" s="6" t="n">
        <f aca="false">Sheet1_Original_Data!L261</f>
        <v>4.6</v>
      </c>
      <c r="M262" s="6" t="n">
        <f aca="false">Sheet1_Original_Data!M261</f>
        <v>697888.09</v>
      </c>
      <c r="N262" s="6" t="n">
        <f aca="false">Sheet1_Original_Data!N261</f>
        <v>116249.87</v>
      </c>
      <c r="O262" s="4" t="n">
        <f aca="false">IF(Sheet1_Original_Data!J261="",MEDIAN(Sheet1_Original_Data!$J$4:$J$323),Sheet1_Original_Data!J261)</f>
        <v>2.74</v>
      </c>
      <c r="P262" s="4" t="n">
        <f aca="false">IF(Sheet1_Original_Data!L261="",MEDIAN(Sheet1_Original_Data!$L$4:$L$323),Sheet1_Original_Data!L261)</f>
        <v>4.6</v>
      </c>
    </row>
    <row r="263" customFormat="false" ht="15" hidden="false" customHeight="false" outlineLevel="0" collapsed="false">
      <c r="A263" s="6" t="str">
        <f aca="false">Sheet1_Original_Data!A262</f>
        <v>STR-1065</v>
      </c>
      <c r="B263" s="6" t="str">
        <f aca="false">Sheet1_Original_Data!B262</f>
        <v>2025-03-01</v>
      </c>
      <c r="C263" s="6" t="str">
        <f aca="false">Sheet1_Original_Data!C262</f>
        <v>South</v>
      </c>
      <c r="D263" s="6" t="str">
        <f aca="false">Sheet1_Original_Data!D262</f>
        <v>Mall</v>
      </c>
      <c r="E263" s="6" t="n">
        <f aca="false">Sheet1_Original_Data!E262</f>
        <v>44189.34</v>
      </c>
      <c r="F263" s="6" t="n">
        <f aca="false">Sheet1_Original_Data!F262</f>
        <v>8634</v>
      </c>
      <c r="G263" s="6" t="n">
        <f aca="false">Sheet1_Original_Data!G262</f>
        <v>0.143</v>
      </c>
      <c r="H263" s="6" t="n">
        <f aca="false">Sheet1_Original_Data!H262</f>
        <v>19</v>
      </c>
      <c r="I263" s="6" t="n">
        <f aca="false">Sheet1_Original_Data!I262</f>
        <v>87.5</v>
      </c>
      <c r="J263" s="6" t="n">
        <f aca="false">Sheet1_Original_Data!J262</f>
        <v>3.69</v>
      </c>
      <c r="K263" s="6" t="n">
        <f aca="false">Sheet1_Original_Data!K262</f>
        <v>0</v>
      </c>
      <c r="L263" s="6" t="n">
        <f aca="false">Sheet1_Original_Data!L262</f>
        <v>4.4</v>
      </c>
      <c r="M263" s="6" t="n">
        <f aca="false">Sheet1_Original_Data!M262</f>
        <v>746115.59</v>
      </c>
      <c r="N263" s="6" t="n">
        <f aca="false">Sheet1_Original_Data!N262</f>
        <v>94662.96</v>
      </c>
      <c r="O263" s="4" t="n">
        <f aca="false">IF(Sheet1_Original_Data!J262="",MEDIAN(Sheet1_Original_Data!$J$4:$J$323),Sheet1_Original_Data!J262)</f>
        <v>3.69</v>
      </c>
      <c r="P263" s="4" t="n">
        <f aca="false">IF(Sheet1_Original_Data!L262="",MEDIAN(Sheet1_Original_Data!$L$4:$L$323),Sheet1_Original_Data!L262)</f>
        <v>4.4</v>
      </c>
    </row>
    <row r="264" customFormat="false" ht="15" hidden="false" customHeight="false" outlineLevel="0" collapsed="false">
      <c r="A264" s="6" t="str">
        <f aca="false">Sheet1_Original_Data!A263</f>
        <v>STR-1065</v>
      </c>
      <c r="B264" s="6" t="str">
        <f aca="false">Sheet1_Original_Data!B263</f>
        <v>2025-04-01</v>
      </c>
      <c r="C264" s="6" t="str">
        <f aca="false">Sheet1_Original_Data!C263</f>
        <v>South</v>
      </c>
      <c r="D264" s="6" t="str">
        <f aca="false">Sheet1_Original_Data!D263</f>
        <v>Mall</v>
      </c>
      <c r="E264" s="6" t="n">
        <f aca="false">Sheet1_Original_Data!E263</f>
        <v>38397.82</v>
      </c>
      <c r="F264" s="6" t="n">
        <f aca="false">Sheet1_Original_Data!F263</f>
        <v>7836</v>
      </c>
      <c r="G264" s="6" t="n">
        <f aca="false">Sheet1_Original_Data!G263</f>
        <v>0.007</v>
      </c>
      <c r="H264" s="6" t="n">
        <f aca="false">Sheet1_Original_Data!H263</f>
        <v>21</v>
      </c>
      <c r="I264" s="6" t="n">
        <f aca="false">Sheet1_Original_Data!I263</f>
        <v>92.2</v>
      </c>
      <c r="J264" s="6" t="n">
        <f aca="false">Sheet1_Original_Data!J263</f>
        <v>1.82</v>
      </c>
      <c r="K264" s="6" t="n">
        <f aca="false">Sheet1_Original_Data!K263</f>
        <v>0</v>
      </c>
      <c r="L264" s="6" t="n">
        <f aca="false">Sheet1_Original_Data!L263</f>
        <v>3.6</v>
      </c>
      <c r="M264" s="6" t="n">
        <f aca="false">Sheet1_Original_Data!M263</f>
        <v>776110.32</v>
      </c>
      <c r="N264" s="6" t="n">
        <f aca="false">Sheet1_Original_Data!N263</f>
        <v>139676.21</v>
      </c>
      <c r="O264" s="4" t="n">
        <f aca="false">IF(Sheet1_Original_Data!J263="",MEDIAN(Sheet1_Original_Data!$J$4:$J$323),Sheet1_Original_Data!J263)</f>
        <v>1.82</v>
      </c>
      <c r="P264" s="4" t="n">
        <f aca="false">IF(Sheet1_Original_Data!L263="",MEDIAN(Sheet1_Original_Data!$L$4:$L$323),Sheet1_Original_Data!L263)</f>
        <v>3.6</v>
      </c>
    </row>
    <row r="265" customFormat="false" ht="15" hidden="false" customHeight="false" outlineLevel="0" collapsed="false">
      <c r="A265" s="6" t="str">
        <f aca="false">Sheet1_Original_Data!A264</f>
        <v>STR-1066</v>
      </c>
      <c r="B265" s="6" t="str">
        <f aca="false">Sheet1_Original_Data!B264</f>
        <v>2025-01-01</v>
      </c>
      <c r="C265" s="6" t="str">
        <f aca="false">Sheet1_Original_Data!C264</f>
        <v>West</v>
      </c>
      <c r="D265" s="6" t="str">
        <f aca="false">Sheet1_Original_Data!D264</f>
        <v>High Street</v>
      </c>
      <c r="E265" s="6" t="n">
        <f aca="false">Sheet1_Original_Data!E264</f>
        <v>14519.37</v>
      </c>
      <c r="F265" s="6" t="n">
        <f aca="false">Sheet1_Original_Data!F264</f>
        <v>3047</v>
      </c>
      <c r="G265" s="6" t="n">
        <f aca="false">Sheet1_Original_Data!G264</f>
        <v>0.135</v>
      </c>
      <c r="H265" s="6" t="n">
        <f aca="false">Sheet1_Original_Data!H264</f>
        <v>10</v>
      </c>
      <c r="I265" s="6" t="n">
        <f aca="false">Sheet1_Original_Data!I264</f>
        <v>90.3</v>
      </c>
      <c r="J265" s="6" t="n">
        <f aca="false">Sheet1_Original_Data!J264</f>
        <v>6.62</v>
      </c>
      <c r="K265" s="6" t="n">
        <f aca="false">Sheet1_Original_Data!K264</f>
        <v>0</v>
      </c>
      <c r="L265" s="6" t="n">
        <f aca="false">Sheet1_Original_Data!L264</f>
        <v>4.2</v>
      </c>
      <c r="M265" s="6" t="n">
        <f aca="false">Sheet1_Original_Data!M264</f>
        <v>528852.62</v>
      </c>
      <c r="N265" s="6" t="n">
        <f aca="false">Sheet1_Original_Data!N264</f>
        <v>68426.21</v>
      </c>
      <c r="O265" s="4" t="n">
        <f aca="false">IF(Sheet1_Original_Data!J264="",MEDIAN(Sheet1_Original_Data!$J$4:$J$323),Sheet1_Original_Data!J264)</f>
        <v>6.62</v>
      </c>
      <c r="P265" s="4" t="n">
        <f aca="false">IF(Sheet1_Original_Data!L264="",MEDIAN(Sheet1_Original_Data!$L$4:$L$323),Sheet1_Original_Data!L264)</f>
        <v>4.2</v>
      </c>
    </row>
    <row r="266" customFormat="false" ht="15" hidden="false" customHeight="false" outlineLevel="0" collapsed="false">
      <c r="A266" s="6" t="str">
        <f aca="false">Sheet1_Original_Data!A265</f>
        <v>STR-1066</v>
      </c>
      <c r="B266" s="6" t="str">
        <f aca="false">Sheet1_Original_Data!B265</f>
        <v>2025-02-01</v>
      </c>
      <c r="C266" s="6" t="str">
        <f aca="false">Sheet1_Original_Data!C265</f>
        <v>West</v>
      </c>
      <c r="D266" s="6" t="str">
        <f aca="false">Sheet1_Original_Data!D265</f>
        <v>High Street</v>
      </c>
      <c r="E266" s="6" t="n">
        <f aca="false">Sheet1_Original_Data!E265</f>
        <v>43288.2</v>
      </c>
      <c r="F266" s="6" t="n">
        <f aca="false">Sheet1_Original_Data!F265</f>
        <v>4783</v>
      </c>
      <c r="G266" s="6" t="n">
        <f aca="false">Sheet1_Original_Data!G265</f>
        <v>0.169</v>
      </c>
      <c r="H266" s="6" t="n">
        <f aca="false">Sheet1_Original_Data!H265</f>
        <v>13</v>
      </c>
      <c r="I266" s="6" t="n">
        <f aca="false">Sheet1_Original_Data!I265</f>
        <v>87.3</v>
      </c>
      <c r="J266" s="6" t="n">
        <f aca="false">Sheet1_Original_Data!J265</f>
        <v>0</v>
      </c>
      <c r="K266" s="6" t="n">
        <f aca="false">Sheet1_Original_Data!K265</f>
        <v>0</v>
      </c>
      <c r="L266" s="6" t="n">
        <f aca="false">Sheet1_Original_Data!L265</f>
        <v>4.2</v>
      </c>
      <c r="M266" s="6" t="n">
        <f aca="false">Sheet1_Original_Data!M265</f>
        <v>605751.33</v>
      </c>
      <c r="N266" s="6" t="n">
        <f aca="false">Sheet1_Original_Data!N265</f>
        <v>60685.53</v>
      </c>
      <c r="O266" s="4" t="n">
        <f aca="false">IF(Sheet1_Original_Data!J265="",MEDIAN(Sheet1_Original_Data!$J$4:$J$323),Sheet1_Original_Data!J265)</f>
        <v>3.365</v>
      </c>
      <c r="P266" s="4" t="n">
        <f aca="false">IF(Sheet1_Original_Data!L265="",MEDIAN(Sheet1_Original_Data!$L$4:$L$323),Sheet1_Original_Data!L265)</f>
        <v>4.2</v>
      </c>
    </row>
    <row r="267" customFormat="false" ht="15" hidden="false" customHeight="false" outlineLevel="0" collapsed="false">
      <c r="A267" s="6" t="str">
        <f aca="false">Sheet1_Original_Data!A266</f>
        <v>STR-1066</v>
      </c>
      <c r="B267" s="6" t="str">
        <f aca="false">Sheet1_Original_Data!B266</f>
        <v>2025-03-01</v>
      </c>
      <c r="C267" s="6" t="str">
        <f aca="false">Sheet1_Original_Data!C266</f>
        <v>West</v>
      </c>
      <c r="D267" s="6" t="str">
        <f aca="false">Sheet1_Original_Data!D266</f>
        <v>High Street</v>
      </c>
      <c r="E267" s="6" t="n">
        <f aca="false">Sheet1_Original_Data!E266</f>
        <v>51450.55</v>
      </c>
      <c r="F267" s="6" t="n">
        <f aca="false">Sheet1_Original_Data!F266</f>
        <v>4902</v>
      </c>
      <c r="G267" s="6" t="n">
        <f aca="false">Sheet1_Original_Data!G266</f>
        <v>0.086</v>
      </c>
      <c r="H267" s="6" t="n">
        <f aca="false">Sheet1_Original_Data!H266</f>
        <v>11</v>
      </c>
      <c r="I267" s="6" t="n">
        <f aca="false">Sheet1_Original_Data!I266</f>
        <v>83.7</v>
      </c>
      <c r="J267" s="6" t="n">
        <f aca="false">Sheet1_Original_Data!J266</f>
        <v>6.92</v>
      </c>
      <c r="K267" s="6" t="n">
        <f aca="false">Sheet1_Original_Data!K266</f>
        <v>1</v>
      </c>
      <c r="L267" s="6" t="n">
        <f aca="false">Sheet1_Original_Data!L266</f>
        <v>4.2</v>
      </c>
      <c r="M267" s="6" t="n">
        <f aca="false">Sheet1_Original_Data!M266</f>
        <v>677640.65</v>
      </c>
      <c r="N267" s="6" t="n">
        <f aca="false">Sheet1_Original_Data!N266</f>
        <v>111610.89</v>
      </c>
      <c r="O267" s="4" t="n">
        <f aca="false">IF(Sheet1_Original_Data!J266="",MEDIAN(Sheet1_Original_Data!$J$4:$J$323),Sheet1_Original_Data!J266)</f>
        <v>6.92</v>
      </c>
      <c r="P267" s="4" t="n">
        <f aca="false">IF(Sheet1_Original_Data!L266="",MEDIAN(Sheet1_Original_Data!$L$4:$L$323),Sheet1_Original_Data!L266)</f>
        <v>4.2</v>
      </c>
    </row>
    <row r="268" customFormat="false" ht="15" hidden="false" customHeight="false" outlineLevel="0" collapsed="false">
      <c r="A268" s="6" t="str">
        <f aca="false">Sheet1_Original_Data!A267</f>
        <v>STR-1066</v>
      </c>
      <c r="B268" s="6" t="str">
        <f aca="false">Sheet1_Original_Data!B267</f>
        <v>2025-04-01</v>
      </c>
      <c r="C268" s="6" t="str">
        <f aca="false">Sheet1_Original_Data!C267</f>
        <v>West</v>
      </c>
      <c r="D268" s="6" t="str">
        <f aca="false">Sheet1_Original_Data!D267</f>
        <v>High Street</v>
      </c>
      <c r="E268" s="6" t="n">
        <f aca="false">Sheet1_Original_Data!E267</f>
        <v>58688.26</v>
      </c>
      <c r="F268" s="6" t="n">
        <f aca="false">Sheet1_Original_Data!F267</f>
        <v>4022</v>
      </c>
      <c r="G268" s="6" t="n">
        <f aca="false">Sheet1_Original_Data!G267</f>
        <v>0.217</v>
      </c>
      <c r="H268" s="6" t="n">
        <f aca="false">Sheet1_Original_Data!H267</f>
        <v>12</v>
      </c>
      <c r="I268" s="6" t="n">
        <f aca="false">Sheet1_Original_Data!I267</f>
        <v>93.8</v>
      </c>
      <c r="J268" s="6" t="n">
        <f aca="false">Sheet1_Original_Data!J267</f>
        <v>11.78</v>
      </c>
      <c r="K268" s="6" t="n">
        <f aca="false">Sheet1_Original_Data!K267</f>
        <v>0</v>
      </c>
      <c r="L268" s="6" t="n">
        <f aca="false">Sheet1_Original_Data!L267</f>
        <v>3.7</v>
      </c>
      <c r="M268" s="6" t="n">
        <f aca="false">Sheet1_Original_Data!M267</f>
        <v>636613.23</v>
      </c>
      <c r="N268" s="6" t="n">
        <f aca="false">Sheet1_Original_Data!N267</f>
        <v>78908.35</v>
      </c>
      <c r="O268" s="4" t="n">
        <f aca="false">IF(Sheet1_Original_Data!J267="",MEDIAN(Sheet1_Original_Data!$J$4:$J$323),Sheet1_Original_Data!J267)</f>
        <v>11.78</v>
      </c>
      <c r="P268" s="4" t="n">
        <f aca="false">IF(Sheet1_Original_Data!L267="",MEDIAN(Sheet1_Original_Data!$L$4:$L$323),Sheet1_Original_Data!L267)</f>
        <v>3.7</v>
      </c>
    </row>
    <row r="269" customFormat="false" ht="15" hidden="false" customHeight="false" outlineLevel="0" collapsed="false">
      <c r="A269" s="6" t="str">
        <f aca="false">Sheet1_Original_Data!A268</f>
        <v>STR-1067</v>
      </c>
      <c r="B269" s="6" t="str">
        <f aca="false">Sheet1_Original_Data!B268</f>
        <v>2025-01-01</v>
      </c>
      <c r="C269" s="6" t="str">
        <f aca="false">Sheet1_Original_Data!C268</f>
        <v>East</v>
      </c>
      <c r="D269" s="6" t="str">
        <f aca="false">Sheet1_Original_Data!D268</f>
        <v>High Street</v>
      </c>
      <c r="E269" s="6" t="n">
        <f aca="false">Sheet1_Original_Data!E268</f>
        <v>58981.91</v>
      </c>
      <c r="F269" s="6" t="n">
        <f aca="false">Sheet1_Original_Data!F268</f>
        <v>7324</v>
      </c>
      <c r="G269" s="6" t="n">
        <f aca="false">Sheet1_Original_Data!G268</f>
        <v>0.094</v>
      </c>
      <c r="H269" s="6" t="n">
        <f aca="false">Sheet1_Original_Data!H268</f>
        <v>15</v>
      </c>
      <c r="I269" s="6" t="n">
        <f aca="false">Sheet1_Original_Data!I268</f>
        <v>95.8</v>
      </c>
      <c r="J269" s="6" t="n">
        <f aca="false">Sheet1_Original_Data!J268</f>
        <v>0.5</v>
      </c>
      <c r="K269" s="6" t="n">
        <f aca="false">Sheet1_Original_Data!K268</f>
        <v>0</v>
      </c>
      <c r="L269" s="6" t="n">
        <f aca="false">Sheet1_Original_Data!L268</f>
        <v>3.5</v>
      </c>
      <c r="M269" s="6" t="n">
        <f aca="false">Sheet1_Original_Data!M268</f>
        <v>708985.19</v>
      </c>
      <c r="N269" s="6" t="n">
        <f aca="false">Sheet1_Original_Data!N268</f>
        <v>125368.16</v>
      </c>
      <c r="O269" s="4" t="n">
        <f aca="false">IF(Sheet1_Original_Data!J268="",MEDIAN(Sheet1_Original_Data!$J$4:$J$323),Sheet1_Original_Data!J268)</f>
        <v>0.5</v>
      </c>
      <c r="P269" s="4" t="n">
        <f aca="false">IF(Sheet1_Original_Data!L268="",MEDIAN(Sheet1_Original_Data!$L$4:$L$323),Sheet1_Original_Data!L268)</f>
        <v>3.5</v>
      </c>
    </row>
    <row r="270" customFormat="false" ht="15" hidden="false" customHeight="false" outlineLevel="0" collapsed="false">
      <c r="A270" s="6" t="str">
        <f aca="false">Sheet1_Original_Data!A269</f>
        <v>STR-1067</v>
      </c>
      <c r="B270" s="6" t="str">
        <f aca="false">Sheet1_Original_Data!B269</f>
        <v>2025-02-01</v>
      </c>
      <c r="C270" s="6" t="str">
        <f aca="false">Sheet1_Original_Data!C269</f>
        <v>East</v>
      </c>
      <c r="D270" s="6" t="str">
        <f aca="false">Sheet1_Original_Data!D269</f>
        <v>High Street</v>
      </c>
      <c r="E270" s="6" t="n">
        <f aca="false">Sheet1_Original_Data!E269</f>
        <v>73454.54</v>
      </c>
      <c r="F270" s="6" t="n">
        <f aca="false">Sheet1_Original_Data!F269</f>
        <v>8129</v>
      </c>
      <c r="G270" s="6" t="n">
        <f aca="false">Sheet1_Original_Data!G269</f>
        <v>0.211</v>
      </c>
      <c r="H270" s="6" t="n">
        <f aca="false">Sheet1_Original_Data!H269</f>
        <v>20</v>
      </c>
      <c r="I270" s="6" t="n">
        <f aca="false">Sheet1_Original_Data!I269</f>
        <v>85.2</v>
      </c>
      <c r="J270" s="6" t="n">
        <f aca="false">Sheet1_Original_Data!J269</f>
        <v>0.88</v>
      </c>
      <c r="K270" s="6" t="n">
        <f aca="false">Sheet1_Original_Data!K269</f>
        <v>0</v>
      </c>
      <c r="L270" s="6" t="n">
        <f aca="false">Sheet1_Original_Data!L269</f>
        <v>3.7</v>
      </c>
      <c r="M270" s="6" t="n">
        <f aca="false">Sheet1_Original_Data!M269</f>
        <v>767792.94</v>
      </c>
      <c r="N270" s="6" t="n">
        <f aca="false">Sheet1_Original_Data!N269</f>
        <v>96235.77</v>
      </c>
      <c r="O270" s="4" t="n">
        <f aca="false">IF(Sheet1_Original_Data!J269="",MEDIAN(Sheet1_Original_Data!$J$4:$J$323),Sheet1_Original_Data!J269)</f>
        <v>0.88</v>
      </c>
      <c r="P270" s="4" t="n">
        <f aca="false">IF(Sheet1_Original_Data!L269="",MEDIAN(Sheet1_Original_Data!$L$4:$L$323),Sheet1_Original_Data!L269)</f>
        <v>3.7</v>
      </c>
    </row>
    <row r="271" customFormat="false" ht="15" hidden="false" customHeight="false" outlineLevel="0" collapsed="false">
      <c r="A271" s="6" t="str">
        <f aca="false">Sheet1_Original_Data!A270</f>
        <v>STR-1067</v>
      </c>
      <c r="B271" s="6" t="str">
        <f aca="false">Sheet1_Original_Data!B270</f>
        <v>2025-03-01</v>
      </c>
      <c r="C271" s="6" t="str">
        <f aca="false">Sheet1_Original_Data!C270</f>
        <v>East</v>
      </c>
      <c r="D271" s="6" t="str">
        <f aca="false">Sheet1_Original_Data!D270</f>
        <v>High Street</v>
      </c>
      <c r="E271" s="6" t="n">
        <f aca="false">Sheet1_Original_Data!E270</f>
        <v>56602.39</v>
      </c>
      <c r="F271" s="6" t="n">
        <f aca="false">Sheet1_Original_Data!F270</f>
        <v>7969</v>
      </c>
      <c r="G271" s="6" t="n">
        <f aca="false">Sheet1_Original_Data!G270</f>
        <v>0.17</v>
      </c>
      <c r="H271" s="6" t="n">
        <f aca="false">Sheet1_Original_Data!H270</f>
        <v>21</v>
      </c>
      <c r="I271" s="6" t="n">
        <f aca="false">Sheet1_Original_Data!I270</f>
        <v>88.3</v>
      </c>
      <c r="J271" s="6" t="n">
        <f aca="false">Sheet1_Original_Data!J270</f>
        <v>2.25</v>
      </c>
      <c r="K271" s="6" t="n">
        <f aca="false">Sheet1_Original_Data!K270</f>
        <v>0</v>
      </c>
      <c r="L271" s="6" t="n">
        <f aca="false">Sheet1_Original_Data!L270</f>
        <v>3.7</v>
      </c>
      <c r="M271" s="6" t="n">
        <f aca="false">Sheet1_Original_Data!M270</f>
        <v>745580.51</v>
      </c>
      <c r="N271" s="6" t="n">
        <f aca="false">Sheet1_Original_Data!N270</f>
        <v>116273.68</v>
      </c>
      <c r="O271" s="4" t="n">
        <f aca="false">IF(Sheet1_Original_Data!J270="",MEDIAN(Sheet1_Original_Data!$J$4:$J$323),Sheet1_Original_Data!J270)</f>
        <v>2.25</v>
      </c>
      <c r="P271" s="4" t="n">
        <f aca="false">IF(Sheet1_Original_Data!L270="",MEDIAN(Sheet1_Original_Data!$L$4:$L$323),Sheet1_Original_Data!L270)</f>
        <v>3.7</v>
      </c>
    </row>
    <row r="272" customFormat="false" ht="15" hidden="false" customHeight="false" outlineLevel="0" collapsed="false">
      <c r="A272" s="6" t="str">
        <f aca="false">Sheet1_Original_Data!A271</f>
        <v>STR-1067</v>
      </c>
      <c r="B272" s="6" t="str">
        <f aca="false">Sheet1_Original_Data!B271</f>
        <v>2025-04-01</v>
      </c>
      <c r="C272" s="6" t="str">
        <f aca="false">Sheet1_Original_Data!C271</f>
        <v>East</v>
      </c>
      <c r="D272" s="6" t="str">
        <f aca="false">Sheet1_Original_Data!D271</f>
        <v>High Street</v>
      </c>
      <c r="E272" s="6" t="n">
        <f aca="false">Sheet1_Original_Data!E271</f>
        <v>67722.29</v>
      </c>
      <c r="F272" s="6" t="n">
        <f aca="false">Sheet1_Original_Data!F271</f>
        <v>7240</v>
      </c>
      <c r="G272" s="6" t="n">
        <f aca="false">Sheet1_Original_Data!G271</f>
        <v>0.026</v>
      </c>
      <c r="H272" s="6" t="n">
        <f aca="false">Sheet1_Original_Data!H271</f>
        <v>15</v>
      </c>
      <c r="I272" s="6" t="n">
        <f aca="false">Sheet1_Original_Data!I271</f>
        <v>92.9</v>
      </c>
      <c r="J272" s="6" t="n">
        <f aca="false">Sheet1_Original_Data!J271</f>
        <v>0.29</v>
      </c>
      <c r="K272" s="6" t="n">
        <f aca="false">Sheet1_Original_Data!K271</f>
        <v>0</v>
      </c>
      <c r="L272" s="6" t="n">
        <f aca="false">Sheet1_Original_Data!L271</f>
        <v>3.5</v>
      </c>
      <c r="M272" s="6" t="n">
        <f aca="false">Sheet1_Original_Data!M271</f>
        <v>762328.31</v>
      </c>
      <c r="N272" s="6" t="n">
        <f aca="false">Sheet1_Original_Data!N271</f>
        <v>159158.19</v>
      </c>
      <c r="O272" s="4" t="n">
        <f aca="false">IF(Sheet1_Original_Data!J271="",MEDIAN(Sheet1_Original_Data!$J$4:$J$323),Sheet1_Original_Data!J271)</f>
        <v>0.29</v>
      </c>
      <c r="P272" s="4" t="n">
        <f aca="false">IF(Sheet1_Original_Data!L271="",MEDIAN(Sheet1_Original_Data!$L$4:$L$323),Sheet1_Original_Data!L271)</f>
        <v>3.5</v>
      </c>
    </row>
    <row r="273" customFormat="false" ht="15" hidden="false" customHeight="false" outlineLevel="0" collapsed="false">
      <c r="A273" s="6" t="str">
        <f aca="false">Sheet1_Original_Data!A272</f>
        <v>STR-1068</v>
      </c>
      <c r="B273" s="6" t="str">
        <f aca="false">Sheet1_Original_Data!B272</f>
        <v>2025-01-01</v>
      </c>
      <c r="C273" s="6" t="str">
        <f aca="false">Sheet1_Original_Data!C272</f>
        <v>East</v>
      </c>
      <c r="D273" s="6" t="str">
        <f aca="false">Sheet1_Original_Data!D272</f>
        <v>Mall</v>
      </c>
      <c r="E273" s="6" t="n">
        <f aca="false">Sheet1_Original_Data!E272</f>
        <v>48752.92</v>
      </c>
      <c r="F273" s="6" t="n">
        <f aca="false">Sheet1_Original_Data!F272</f>
        <v>8052</v>
      </c>
      <c r="G273" s="6" t="n">
        <f aca="false">Sheet1_Original_Data!G272</f>
        <v>0.106</v>
      </c>
      <c r="H273" s="6" t="n">
        <f aca="false">Sheet1_Original_Data!H272</f>
        <v>16</v>
      </c>
      <c r="I273" s="6" t="n">
        <f aca="false">Sheet1_Original_Data!I272</f>
        <v>94.9</v>
      </c>
      <c r="J273" s="6" t="n">
        <f aca="false">Sheet1_Original_Data!J272</f>
        <v>0.65</v>
      </c>
      <c r="K273" s="6" t="n">
        <f aca="false">Sheet1_Original_Data!K272</f>
        <v>0</v>
      </c>
      <c r="L273" s="6" t="n">
        <f aca="false">Sheet1_Original_Data!L272</f>
        <v>3.6</v>
      </c>
      <c r="M273" s="6" t="n">
        <f aca="false">Sheet1_Original_Data!M272</f>
        <v>660633.99</v>
      </c>
      <c r="N273" s="6" t="n">
        <f aca="false">Sheet1_Original_Data!N272</f>
        <v>118768.66</v>
      </c>
      <c r="O273" s="4" t="n">
        <f aca="false">IF(Sheet1_Original_Data!J272="",MEDIAN(Sheet1_Original_Data!$J$4:$J$323),Sheet1_Original_Data!J272)</f>
        <v>0.65</v>
      </c>
      <c r="P273" s="4" t="n">
        <f aca="false">IF(Sheet1_Original_Data!L272="",MEDIAN(Sheet1_Original_Data!$L$4:$L$323),Sheet1_Original_Data!L272)</f>
        <v>3.6</v>
      </c>
    </row>
    <row r="274" customFormat="false" ht="15" hidden="false" customHeight="false" outlineLevel="0" collapsed="false">
      <c r="A274" s="6" t="str">
        <f aca="false">Sheet1_Original_Data!A273</f>
        <v>STR-1068</v>
      </c>
      <c r="B274" s="6" t="str">
        <f aca="false">Sheet1_Original_Data!B273</f>
        <v>2025-02-01</v>
      </c>
      <c r="C274" s="6" t="str">
        <f aca="false">Sheet1_Original_Data!C273</f>
        <v>East</v>
      </c>
      <c r="D274" s="6" t="str">
        <f aca="false">Sheet1_Original_Data!D273</f>
        <v>Mall</v>
      </c>
      <c r="E274" s="6" t="n">
        <f aca="false">Sheet1_Original_Data!E273</f>
        <v>23914.97</v>
      </c>
      <c r="F274" s="6" t="n">
        <f aca="false">Sheet1_Original_Data!F273</f>
        <v>8018</v>
      </c>
      <c r="G274" s="6" t="n">
        <f aca="false">Sheet1_Original_Data!G273</f>
        <v>0.139</v>
      </c>
      <c r="H274" s="6" t="n">
        <f aca="false">Sheet1_Original_Data!H273</f>
        <v>20</v>
      </c>
      <c r="I274" s="6" t="n">
        <f aca="false">Sheet1_Original_Data!I273</f>
        <v>89</v>
      </c>
      <c r="J274" s="6" t="n">
        <f aca="false">Sheet1_Original_Data!J273</f>
        <v>0.2</v>
      </c>
      <c r="K274" s="6" t="n">
        <f aca="false">Sheet1_Original_Data!K273</f>
        <v>0</v>
      </c>
      <c r="L274" s="6" t="n">
        <f aca="false">Sheet1_Original_Data!L273</f>
        <v>3.5</v>
      </c>
      <c r="M274" s="6" t="n">
        <f aca="false">Sheet1_Original_Data!M273</f>
        <v>739374.56</v>
      </c>
      <c r="N274" s="6" t="n">
        <f aca="false">Sheet1_Original_Data!N273</f>
        <v>121032.29</v>
      </c>
      <c r="O274" s="4" t="n">
        <f aca="false">IF(Sheet1_Original_Data!J273="",MEDIAN(Sheet1_Original_Data!$J$4:$J$323),Sheet1_Original_Data!J273)</f>
        <v>0.2</v>
      </c>
      <c r="P274" s="4" t="n">
        <f aca="false">IF(Sheet1_Original_Data!L273="",MEDIAN(Sheet1_Original_Data!$L$4:$L$323),Sheet1_Original_Data!L273)</f>
        <v>3.5</v>
      </c>
    </row>
    <row r="275" customFormat="false" ht="15" hidden="false" customHeight="false" outlineLevel="0" collapsed="false">
      <c r="A275" s="6" t="str">
        <f aca="false">Sheet1_Original_Data!A274</f>
        <v>STR-1068</v>
      </c>
      <c r="B275" s="6" t="str">
        <f aca="false">Sheet1_Original_Data!B274</f>
        <v>2025-03-01</v>
      </c>
      <c r="C275" s="6" t="str">
        <f aca="false">Sheet1_Original_Data!C274</f>
        <v>East</v>
      </c>
      <c r="D275" s="6" t="str">
        <f aca="false">Sheet1_Original_Data!D274</f>
        <v>Mall</v>
      </c>
      <c r="E275" s="6" t="n">
        <f aca="false">Sheet1_Original_Data!E274</f>
        <v>61995.3</v>
      </c>
      <c r="F275" s="6" t="n">
        <f aca="false">Sheet1_Original_Data!F274</f>
        <v>10192</v>
      </c>
      <c r="G275" s="6" t="n">
        <f aca="false">Sheet1_Original_Data!G274</f>
        <v>0.198</v>
      </c>
      <c r="H275" s="6" t="n">
        <f aca="false">Sheet1_Original_Data!H274</f>
        <v>21</v>
      </c>
      <c r="I275" s="6" t="n">
        <f aca="false">Sheet1_Original_Data!I274</f>
        <v>87.6</v>
      </c>
      <c r="J275" s="6" t="n">
        <f aca="false">Sheet1_Original_Data!J274</f>
        <v>3.63</v>
      </c>
      <c r="K275" s="6" t="n">
        <f aca="false">Sheet1_Original_Data!K274</f>
        <v>1</v>
      </c>
      <c r="L275" s="6" t="n">
        <f aca="false">Sheet1_Original_Data!L274</f>
        <v>3.8</v>
      </c>
      <c r="M275" s="6" t="n">
        <f aca="false">Sheet1_Original_Data!M274</f>
        <v>799756.46</v>
      </c>
      <c r="N275" s="6" t="n">
        <f aca="false">Sheet1_Original_Data!N274</f>
        <v>105052.93</v>
      </c>
      <c r="O275" s="4" t="n">
        <f aca="false">IF(Sheet1_Original_Data!J274="",MEDIAN(Sheet1_Original_Data!$J$4:$J$323),Sheet1_Original_Data!J274)</f>
        <v>3.63</v>
      </c>
      <c r="P275" s="4" t="n">
        <f aca="false">IF(Sheet1_Original_Data!L274="",MEDIAN(Sheet1_Original_Data!$L$4:$L$323),Sheet1_Original_Data!L274)</f>
        <v>3.8</v>
      </c>
    </row>
    <row r="276" customFormat="false" ht="15" hidden="false" customHeight="false" outlineLevel="0" collapsed="false">
      <c r="A276" s="6" t="str">
        <f aca="false">Sheet1_Original_Data!A275</f>
        <v>STR-1068</v>
      </c>
      <c r="B276" s="6" t="str">
        <f aca="false">Sheet1_Original_Data!B275</f>
        <v>2025-04-01</v>
      </c>
      <c r="C276" s="6" t="str">
        <f aca="false">Sheet1_Original_Data!C275</f>
        <v>East</v>
      </c>
      <c r="D276" s="6" t="str">
        <f aca="false">Sheet1_Original_Data!D275</f>
        <v>Mall</v>
      </c>
      <c r="E276" s="6" t="n">
        <f aca="false">Sheet1_Original_Data!E275</f>
        <v>29344.93</v>
      </c>
      <c r="F276" s="6" t="n">
        <f aca="false">Sheet1_Original_Data!F275</f>
        <v>7446</v>
      </c>
      <c r="G276" s="6" t="n">
        <f aca="false">Sheet1_Original_Data!G275</f>
        <v>0.111</v>
      </c>
      <c r="H276" s="6" t="n">
        <f aca="false">Sheet1_Original_Data!H275</f>
        <v>15</v>
      </c>
      <c r="I276" s="6" t="n">
        <f aca="false">Sheet1_Original_Data!I275</f>
        <v>86.2</v>
      </c>
      <c r="J276" s="6" t="n">
        <f aca="false">Sheet1_Original_Data!J275</f>
        <v>0.2</v>
      </c>
      <c r="K276" s="6" t="n">
        <f aca="false">Sheet1_Original_Data!K275</f>
        <v>0</v>
      </c>
      <c r="L276" s="6" t="n">
        <f aca="false">Sheet1_Original_Data!L275</f>
        <v>3.2</v>
      </c>
      <c r="M276" s="6" t="n">
        <f aca="false">Sheet1_Original_Data!M275</f>
        <v>593343</v>
      </c>
      <c r="N276" s="6" t="n">
        <f aca="false">Sheet1_Original_Data!N275</f>
        <v>82832.24</v>
      </c>
      <c r="O276" s="4" t="n">
        <f aca="false">IF(Sheet1_Original_Data!J275="",MEDIAN(Sheet1_Original_Data!$J$4:$J$323),Sheet1_Original_Data!J275)</f>
        <v>0.2</v>
      </c>
      <c r="P276" s="4" t="n">
        <f aca="false">IF(Sheet1_Original_Data!L275="",MEDIAN(Sheet1_Original_Data!$L$4:$L$323),Sheet1_Original_Data!L275)</f>
        <v>3.2</v>
      </c>
    </row>
    <row r="277" customFormat="false" ht="15" hidden="false" customHeight="false" outlineLevel="0" collapsed="false">
      <c r="A277" s="6" t="str">
        <f aca="false">Sheet1_Original_Data!A276</f>
        <v>STR-1069</v>
      </c>
      <c r="B277" s="6" t="str">
        <f aca="false">Sheet1_Original_Data!B276</f>
        <v>2025-01-01</v>
      </c>
      <c r="C277" s="6" t="str">
        <f aca="false">Sheet1_Original_Data!C276</f>
        <v>West</v>
      </c>
      <c r="D277" s="6" t="str">
        <f aca="false">Sheet1_Original_Data!D276</f>
        <v>High Street</v>
      </c>
      <c r="E277" s="6" t="n">
        <f aca="false">Sheet1_Original_Data!E276</f>
        <v>50532.17</v>
      </c>
      <c r="F277" s="6" t="n">
        <f aca="false">Sheet1_Original_Data!F276</f>
        <v>5689</v>
      </c>
      <c r="G277" s="6" t="n">
        <f aca="false">Sheet1_Original_Data!G276</f>
        <v>0.052</v>
      </c>
      <c r="H277" s="6" t="n">
        <f aca="false">Sheet1_Original_Data!H276</f>
        <v>17</v>
      </c>
      <c r="I277" s="6" t="n">
        <f aca="false">Sheet1_Original_Data!I276</f>
        <v>85.6</v>
      </c>
      <c r="J277" s="6" t="n">
        <f aca="false">Sheet1_Original_Data!J276</f>
        <v>6.23</v>
      </c>
      <c r="K277" s="6" t="n">
        <f aca="false">Sheet1_Original_Data!K276</f>
        <v>0</v>
      </c>
      <c r="L277" s="6" t="n">
        <f aca="false">Sheet1_Original_Data!L276</f>
        <v>3.3</v>
      </c>
      <c r="M277" s="6" t="n">
        <f aca="false">Sheet1_Original_Data!M276</f>
        <v>645039.97</v>
      </c>
      <c r="N277" s="6" t="n">
        <f aca="false">Sheet1_Original_Data!N276</f>
        <v>83093.33</v>
      </c>
      <c r="O277" s="4" t="n">
        <f aca="false">IF(Sheet1_Original_Data!J276="",MEDIAN(Sheet1_Original_Data!$J$4:$J$323),Sheet1_Original_Data!J276)</f>
        <v>6.23</v>
      </c>
      <c r="P277" s="4" t="n">
        <f aca="false">IF(Sheet1_Original_Data!L276="",MEDIAN(Sheet1_Original_Data!$L$4:$L$323),Sheet1_Original_Data!L276)</f>
        <v>3.3</v>
      </c>
    </row>
    <row r="278" customFormat="false" ht="15" hidden="false" customHeight="false" outlineLevel="0" collapsed="false">
      <c r="A278" s="6" t="str">
        <f aca="false">Sheet1_Original_Data!A277</f>
        <v>STR-1069</v>
      </c>
      <c r="B278" s="6" t="str">
        <f aca="false">Sheet1_Original_Data!B277</f>
        <v>2025-02-01</v>
      </c>
      <c r="C278" s="6" t="str">
        <f aca="false">Sheet1_Original_Data!C277</f>
        <v>West</v>
      </c>
      <c r="D278" s="6" t="str">
        <f aca="false">Sheet1_Original_Data!D277</f>
        <v>High Street</v>
      </c>
      <c r="E278" s="6" t="n">
        <f aca="false">Sheet1_Original_Data!E277</f>
        <v>17562.57</v>
      </c>
      <c r="F278" s="6" t="n">
        <f aca="false">Sheet1_Original_Data!F277</f>
        <v>3326</v>
      </c>
      <c r="G278" s="6" t="n">
        <f aca="false">Sheet1_Original_Data!G277</f>
        <v>0.153</v>
      </c>
      <c r="H278" s="6" t="n">
        <f aca="false">Sheet1_Original_Data!H277</f>
        <v>14</v>
      </c>
      <c r="I278" s="6" t="n">
        <f aca="false">Sheet1_Original_Data!I277</f>
        <v>88.1</v>
      </c>
      <c r="J278" s="6" t="n">
        <f aca="false">Sheet1_Original_Data!J277</f>
        <v>1.04</v>
      </c>
      <c r="K278" s="6" t="n">
        <f aca="false">Sheet1_Original_Data!K277</f>
        <v>0</v>
      </c>
      <c r="L278" s="6" t="n">
        <f aca="false">Sheet1_Original_Data!L277</f>
        <v>3.1</v>
      </c>
      <c r="M278" s="6" t="n">
        <f aca="false">Sheet1_Original_Data!M277</f>
        <v>561597.33</v>
      </c>
      <c r="N278" s="6" t="n">
        <f aca="false">Sheet1_Original_Data!N277</f>
        <v>75072.75</v>
      </c>
      <c r="O278" s="4" t="n">
        <f aca="false">IF(Sheet1_Original_Data!J277="",MEDIAN(Sheet1_Original_Data!$J$4:$J$323),Sheet1_Original_Data!J277)</f>
        <v>1.04</v>
      </c>
      <c r="P278" s="4" t="n">
        <f aca="false">IF(Sheet1_Original_Data!L277="",MEDIAN(Sheet1_Original_Data!$L$4:$L$323),Sheet1_Original_Data!L277)</f>
        <v>3.1</v>
      </c>
    </row>
    <row r="279" customFormat="false" ht="15" hidden="false" customHeight="false" outlineLevel="0" collapsed="false">
      <c r="A279" s="6" t="str">
        <f aca="false">Sheet1_Original_Data!A278</f>
        <v>STR-1069</v>
      </c>
      <c r="B279" s="6" t="str">
        <f aca="false">Sheet1_Original_Data!B278</f>
        <v>2025-03-01</v>
      </c>
      <c r="C279" s="6" t="str">
        <f aca="false">Sheet1_Original_Data!C278</f>
        <v>West</v>
      </c>
      <c r="D279" s="6" t="str">
        <f aca="false">Sheet1_Original_Data!D278</f>
        <v>High Street</v>
      </c>
      <c r="E279" s="6" t="n">
        <f aca="false">Sheet1_Original_Data!E278</f>
        <v>47648.71</v>
      </c>
      <c r="F279" s="6" t="n">
        <f aca="false">Sheet1_Original_Data!F278</f>
        <v>5767</v>
      </c>
      <c r="G279" s="6" t="n">
        <f aca="false">Sheet1_Original_Data!G278</f>
        <v>0.141</v>
      </c>
      <c r="H279" s="6" t="n">
        <f aca="false">Sheet1_Original_Data!H278</f>
        <v>17</v>
      </c>
      <c r="I279" s="6" t="n">
        <f aca="false">Sheet1_Original_Data!I278</f>
        <v>89.8</v>
      </c>
      <c r="J279" s="6" t="n">
        <f aca="false">Sheet1_Original_Data!J278</f>
        <v>1.76</v>
      </c>
      <c r="K279" s="6" t="n">
        <f aca="false">Sheet1_Original_Data!K278</f>
        <v>0</v>
      </c>
      <c r="L279" s="6" t="n">
        <f aca="false">Sheet1_Original_Data!L278</f>
        <v>3.1</v>
      </c>
      <c r="M279" s="6" t="n">
        <f aca="false">Sheet1_Original_Data!M278</f>
        <v>635837.74</v>
      </c>
      <c r="N279" s="6" t="n">
        <f aca="false">Sheet1_Original_Data!N278</f>
        <v>114740.64</v>
      </c>
      <c r="O279" s="4" t="n">
        <f aca="false">IF(Sheet1_Original_Data!J278="",MEDIAN(Sheet1_Original_Data!$J$4:$J$323),Sheet1_Original_Data!J278)</f>
        <v>1.76</v>
      </c>
      <c r="P279" s="4" t="n">
        <f aca="false">IF(Sheet1_Original_Data!L278="",MEDIAN(Sheet1_Original_Data!$L$4:$L$323),Sheet1_Original_Data!L278)</f>
        <v>3.1</v>
      </c>
    </row>
    <row r="280" customFormat="false" ht="15" hidden="false" customHeight="false" outlineLevel="0" collapsed="false">
      <c r="A280" s="6" t="str">
        <f aca="false">Sheet1_Original_Data!A279</f>
        <v>STR-1069</v>
      </c>
      <c r="B280" s="6" t="str">
        <f aca="false">Sheet1_Original_Data!B279</f>
        <v>2025-04-01</v>
      </c>
      <c r="C280" s="6" t="str">
        <f aca="false">Sheet1_Original_Data!C279</f>
        <v>West</v>
      </c>
      <c r="D280" s="6" t="str">
        <f aca="false">Sheet1_Original_Data!D279</f>
        <v>High Street</v>
      </c>
      <c r="E280" s="6" t="n">
        <f aca="false">Sheet1_Original_Data!E279</f>
        <v>38297.58</v>
      </c>
      <c r="F280" s="6" t="n">
        <f aca="false">Sheet1_Original_Data!F279</f>
        <v>5893</v>
      </c>
      <c r="G280" s="6" t="n">
        <f aca="false">Sheet1_Original_Data!G279</f>
        <v>0.247</v>
      </c>
      <c r="H280" s="6" t="n">
        <f aca="false">Sheet1_Original_Data!H279</f>
        <v>18</v>
      </c>
      <c r="I280" s="6" t="n">
        <f aca="false">Sheet1_Original_Data!I279</f>
        <v>77.6</v>
      </c>
      <c r="J280" s="6" t="n">
        <f aca="false">Sheet1_Original_Data!J279</f>
        <v>2.86</v>
      </c>
      <c r="K280" s="6" t="n">
        <f aca="false">Sheet1_Original_Data!K279</f>
        <v>0</v>
      </c>
      <c r="L280" s="6" t="n">
        <f aca="false">Sheet1_Original_Data!L279</f>
        <v>3</v>
      </c>
      <c r="M280" s="6" t="n">
        <f aca="false">Sheet1_Original_Data!M279</f>
        <v>686737.87</v>
      </c>
      <c r="N280" s="6" t="n">
        <f aca="false">Sheet1_Original_Data!N279</f>
        <v>83839.67</v>
      </c>
      <c r="O280" s="4" t="n">
        <f aca="false">IF(Sheet1_Original_Data!J279="",MEDIAN(Sheet1_Original_Data!$J$4:$J$323),Sheet1_Original_Data!J279)</f>
        <v>2.86</v>
      </c>
      <c r="P280" s="4" t="n">
        <f aca="false">IF(Sheet1_Original_Data!L279="",MEDIAN(Sheet1_Original_Data!$L$4:$L$323),Sheet1_Original_Data!L279)</f>
        <v>3</v>
      </c>
    </row>
    <row r="281" customFormat="false" ht="15" hidden="false" customHeight="false" outlineLevel="0" collapsed="false">
      <c r="A281" s="6" t="str">
        <f aca="false">Sheet1_Original_Data!A280</f>
        <v>STR-1070</v>
      </c>
      <c r="B281" s="6" t="str">
        <f aca="false">Sheet1_Original_Data!B280</f>
        <v>2025-01-01</v>
      </c>
      <c r="C281" s="6" t="str">
        <f aca="false">Sheet1_Original_Data!C280</f>
        <v>South</v>
      </c>
      <c r="D281" s="6" t="str">
        <f aca="false">Sheet1_Original_Data!D280</f>
        <v>Residential</v>
      </c>
      <c r="E281" s="6" t="n">
        <f aca="false">Sheet1_Original_Data!E280</f>
        <v>61784.11</v>
      </c>
      <c r="F281" s="6" t="n">
        <f aca="false">Sheet1_Original_Data!F280</f>
        <v>8564</v>
      </c>
      <c r="G281" s="6" t="n">
        <f aca="false">Sheet1_Original_Data!G280</f>
        <v>0.13</v>
      </c>
      <c r="H281" s="6" t="n">
        <f aca="false">Sheet1_Original_Data!H280</f>
        <v>17</v>
      </c>
      <c r="I281" s="6" t="n">
        <f aca="false">Sheet1_Original_Data!I280</f>
        <v>87.4</v>
      </c>
      <c r="J281" s="6" t="n">
        <f aca="false">Sheet1_Original_Data!J280</f>
        <v>18.14</v>
      </c>
      <c r="K281" s="6" t="n">
        <f aca="false">Sheet1_Original_Data!K280</f>
        <v>1</v>
      </c>
      <c r="L281" s="6" t="n">
        <f aca="false">Sheet1_Original_Data!L280</f>
        <v>3.4</v>
      </c>
      <c r="M281" s="6" t="n">
        <f aca="false">Sheet1_Original_Data!M280</f>
        <v>673076.34</v>
      </c>
      <c r="N281" s="6" t="n">
        <f aca="false">Sheet1_Original_Data!N280</f>
        <v>93899.76</v>
      </c>
      <c r="O281" s="4" t="n">
        <f aca="false">IF(Sheet1_Original_Data!J280="",MEDIAN(Sheet1_Original_Data!$J$4:$J$323),Sheet1_Original_Data!J280)</f>
        <v>18.14</v>
      </c>
      <c r="P281" s="4" t="n">
        <f aca="false">IF(Sheet1_Original_Data!L280="",MEDIAN(Sheet1_Original_Data!$L$4:$L$323),Sheet1_Original_Data!L280)</f>
        <v>3.4</v>
      </c>
    </row>
    <row r="282" customFormat="false" ht="15" hidden="false" customHeight="false" outlineLevel="0" collapsed="false">
      <c r="A282" s="6" t="str">
        <f aca="false">Sheet1_Original_Data!A281</f>
        <v>STR-1070</v>
      </c>
      <c r="B282" s="6" t="str">
        <f aca="false">Sheet1_Original_Data!B281</f>
        <v>2025-02-01</v>
      </c>
      <c r="C282" s="6" t="str">
        <f aca="false">Sheet1_Original_Data!C281</f>
        <v>South</v>
      </c>
      <c r="D282" s="6" t="str">
        <f aca="false">Sheet1_Original_Data!D281</f>
        <v>Residential</v>
      </c>
      <c r="E282" s="6" t="n">
        <f aca="false">Sheet1_Original_Data!E281</f>
        <v>36832.33</v>
      </c>
      <c r="F282" s="6" t="n">
        <f aca="false">Sheet1_Original_Data!F281</f>
        <v>8001</v>
      </c>
      <c r="G282" s="6" t="n">
        <f aca="false">Sheet1_Original_Data!G281</f>
        <v>0</v>
      </c>
      <c r="H282" s="6" t="n">
        <f aca="false">Sheet1_Original_Data!H281</f>
        <v>19</v>
      </c>
      <c r="I282" s="6" t="n">
        <f aca="false">Sheet1_Original_Data!I281</f>
        <v>88.7</v>
      </c>
      <c r="J282" s="6" t="n">
        <f aca="false">Sheet1_Original_Data!J281</f>
        <v>3.39</v>
      </c>
      <c r="K282" s="6" t="n">
        <f aca="false">Sheet1_Original_Data!K281</f>
        <v>0</v>
      </c>
      <c r="L282" s="6" t="n">
        <f aca="false">Sheet1_Original_Data!L281</f>
        <v>4</v>
      </c>
      <c r="M282" s="6" t="n">
        <f aca="false">Sheet1_Original_Data!M281</f>
        <v>738548.42</v>
      </c>
      <c r="N282" s="6" t="n">
        <f aca="false">Sheet1_Original_Data!N281</f>
        <v>134282.77</v>
      </c>
      <c r="O282" s="4" t="n">
        <f aca="false">IF(Sheet1_Original_Data!J281="",MEDIAN(Sheet1_Original_Data!$J$4:$J$323),Sheet1_Original_Data!J281)</f>
        <v>3.39</v>
      </c>
      <c r="P282" s="4" t="n">
        <f aca="false">IF(Sheet1_Original_Data!L281="",MEDIAN(Sheet1_Original_Data!$L$4:$L$323),Sheet1_Original_Data!L281)</f>
        <v>4</v>
      </c>
    </row>
    <row r="283" customFormat="false" ht="15" hidden="false" customHeight="false" outlineLevel="0" collapsed="false">
      <c r="A283" s="6" t="str">
        <f aca="false">Sheet1_Original_Data!A282</f>
        <v>STR-1070</v>
      </c>
      <c r="B283" s="6" t="str">
        <f aca="false">Sheet1_Original_Data!B282</f>
        <v>2025-03-01</v>
      </c>
      <c r="C283" s="6" t="str">
        <f aca="false">Sheet1_Original_Data!C282</f>
        <v>South</v>
      </c>
      <c r="D283" s="6" t="str">
        <f aca="false">Sheet1_Original_Data!D282</f>
        <v>Residential</v>
      </c>
      <c r="E283" s="6" t="n">
        <f aca="false">Sheet1_Original_Data!E282</f>
        <v>48609.41</v>
      </c>
      <c r="F283" s="6" t="n">
        <f aca="false">Sheet1_Original_Data!F282</f>
        <v>9324</v>
      </c>
      <c r="G283" s="6" t="n">
        <f aca="false">Sheet1_Original_Data!G282</f>
        <v>0.213</v>
      </c>
      <c r="H283" s="6" t="n">
        <f aca="false">Sheet1_Original_Data!H282</f>
        <v>18</v>
      </c>
      <c r="I283" s="6" t="n">
        <f aca="false">Sheet1_Original_Data!I282</f>
        <v>86.5</v>
      </c>
      <c r="J283" s="6" t="n">
        <f aca="false">Sheet1_Original_Data!J282</f>
        <v>1.44</v>
      </c>
      <c r="K283" s="6" t="n">
        <f aca="false">Sheet1_Original_Data!K282</f>
        <v>0</v>
      </c>
      <c r="L283" s="6" t="n">
        <f aca="false">Sheet1_Original_Data!L282</f>
        <v>3.9</v>
      </c>
      <c r="M283" s="6" t="n">
        <f aca="false">Sheet1_Original_Data!M282</f>
        <v>756619.77</v>
      </c>
      <c r="N283" s="6" t="n">
        <f aca="false">Sheet1_Original_Data!N282</f>
        <v>112057.69</v>
      </c>
      <c r="O283" s="4" t="n">
        <f aca="false">IF(Sheet1_Original_Data!J282="",MEDIAN(Sheet1_Original_Data!$J$4:$J$323),Sheet1_Original_Data!J282)</f>
        <v>1.44</v>
      </c>
      <c r="P283" s="4" t="n">
        <f aca="false">IF(Sheet1_Original_Data!L282="",MEDIAN(Sheet1_Original_Data!$L$4:$L$323),Sheet1_Original_Data!L282)</f>
        <v>3.9</v>
      </c>
    </row>
    <row r="284" customFormat="false" ht="15" hidden="false" customHeight="false" outlineLevel="0" collapsed="false">
      <c r="A284" s="6" t="str">
        <f aca="false">Sheet1_Original_Data!A283</f>
        <v>STR-1070</v>
      </c>
      <c r="B284" s="6" t="str">
        <f aca="false">Sheet1_Original_Data!B283</f>
        <v>2025-04-01</v>
      </c>
      <c r="C284" s="6" t="str">
        <f aca="false">Sheet1_Original_Data!C283</f>
        <v>South</v>
      </c>
      <c r="D284" s="6" t="str">
        <f aca="false">Sheet1_Original_Data!D283</f>
        <v>Residential</v>
      </c>
      <c r="E284" s="6" t="n">
        <f aca="false">Sheet1_Original_Data!E283</f>
        <v>70284.06</v>
      </c>
      <c r="F284" s="6" t="n">
        <f aca="false">Sheet1_Original_Data!F283</f>
        <v>9109</v>
      </c>
      <c r="G284" s="6" t="n">
        <f aca="false">Sheet1_Original_Data!G283</f>
        <v>0.004</v>
      </c>
      <c r="H284" s="6" t="n">
        <f aca="false">Sheet1_Original_Data!H283</f>
        <v>23</v>
      </c>
      <c r="I284" s="6" t="n">
        <f aca="false">Sheet1_Original_Data!I283</f>
        <v>87</v>
      </c>
      <c r="J284" s="6" t="n">
        <f aca="false">Sheet1_Original_Data!J283</f>
        <v>3.65</v>
      </c>
      <c r="K284" s="6" t="n">
        <f aca="false">Sheet1_Original_Data!K283</f>
        <v>0</v>
      </c>
      <c r="L284" s="6" t="n">
        <f aca="false">Sheet1_Original_Data!L283</f>
        <v>3.7</v>
      </c>
      <c r="M284" s="6" t="n">
        <f aca="false">Sheet1_Original_Data!M283</f>
        <v>761122.42</v>
      </c>
      <c r="N284" s="6" t="n">
        <f aca="false">Sheet1_Original_Data!N283</f>
        <v>149802.04</v>
      </c>
      <c r="O284" s="4" t="n">
        <f aca="false">IF(Sheet1_Original_Data!J283="",MEDIAN(Sheet1_Original_Data!$J$4:$J$323),Sheet1_Original_Data!J283)</f>
        <v>3.65</v>
      </c>
      <c r="P284" s="4" t="n">
        <f aca="false">IF(Sheet1_Original_Data!L283="",MEDIAN(Sheet1_Original_Data!$L$4:$L$323),Sheet1_Original_Data!L283)</f>
        <v>3.7</v>
      </c>
    </row>
    <row r="285" customFormat="false" ht="15" hidden="false" customHeight="false" outlineLevel="0" collapsed="false">
      <c r="A285" s="6" t="str">
        <f aca="false">Sheet1_Original_Data!A284</f>
        <v>STR-1071</v>
      </c>
      <c r="B285" s="6" t="str">
        <f aca="false">Sheet1_Original_Data!B284</f>
        <v>2025-01-01</v>
      </c>
      <c r="C285" s="6" t="str">
        <f aca="false">Sheet1_Original_Data!C284</f>
        <v>South</v>
      </c>
      <c r="D285" s="6" t="str">
        <f aca="false">Sheet1_Original_Data!D284</f>
        <v>High Street</v>
      </c>
      <c r="E285" s="6" t="n">
        <f aca="false">Sheet1_Original_Data!E284</f>
        <v>45940.39</v>
      </c>
      <c r="F285" s="6" t="n">
        <f aca="false">Sheet1_Original_Data!F284</f>
        <v>4022</v>
      </c>
      <c r="G285" s="6" t="n">
        <f aca="false">Sheet1_Original_Data!G284</f>
        <v>0.069</v>
      </c>
      <c r="H285" s="6" t="n">
        <f aca="false">Sheet1_Original_Data!H284</f>
        <v>10</v>
      </c>
      <c r="I285" s="6" t="n">
        <f aca="false">Sheet1_Original_Data!I284</f>
        <v>83</v>
      </c>
      <c r="J285" s="6" t="n">
        <f aca="false">Sheet1_Original_Data!J284</f>
        <v>1.23</v>
      </c>
      <c r="K285" s="6" t="n">
        <f aca="false">Sheet1_Original_Data!K284</f>
        <v>1</v>
      </c>
      <c r="L285" s="6" t="n">
        <f aca="false">Sheet1_Original_Data!L284</f>
        <v>3.8</v>
      </c>
      <c r="M285" s="6" t="n">
        <f aca="false">Sheet1_Original_Data!M284</f>
        <v>524899.57</v>
      </c>
      <c r="N285" s="6" t="n">
        <f aca="false">Sheet1_Original_Data!N284</f>
        <v>63619.98</v>
      </c>
      <c r="O285" s="4" t="n">
        <f aca="false">IF(Sheet1_Original_Data!J284="",MEDIAN(Sheet1_Original_Data!$J$4:$J$323),Sheet1_Original_Data!J284)</f>
        <v>1.23</v>
      </c>
      <c r="P285" s="4" t="n">
        <f aca="false">IF(Sheet1_Original_Data!L284="",MEDIAN(Sheet1_Original_Data!$L$4:$L$323),Sheet1_Original_Data!L284)</f>
        <v>3.8</v>
      </c>
    </row>
    <row r="286" customFormat="false" ht="15" hidden="false" customHeight="false" outlineLevel="0" collapsed="false">
      <c r="A286" s="6" t="str">
        <f aca="false">Sheet1_Original_Data!A285</f>
        <v>STR-1071</v>
      </c>
      <c r="B286" s="6" t="str">
        <f aca="false">Sheet1_Original_Data!B285</f>
        <v>2025-02-01</v>
      </c>
      <c r="C286" s="6" t="str">
        <f aca="false">Sheet1_Original_Data!C285</f>
        <v>South</v>
      </c>
      <c r="D286" s="6" t="str">
        <f aca="false">Sheet1_Original_Data!D285</f>
        <v>High Street</v>
      </c>
      <c r="E286" s="6" t="n">
        <f aca="false">Sheet1_Original_Data!E285</f>
        <v>34771.26</v>
      </c>
      <c r="F286" s="6" t="n">
        <f aca="false">Sheet1_Original_Data!F285</f>
        <v>4355</v>
      </c>
      <c r="G286" s="6" t="n">
        <f aca="false">Sheet1_Original_Data!G285</f>
        <v>0.051</v>
      </c>
      <c r="H286" s="6" t="n">
        <f aca="false">Sheet1_Original_Data!H285</f>
        <v>15</v>
      </c>
      <c r="I286" s="6" t="n">
        <f aca="false">Sheet1_Original_Data!I285</f>
        <v>87.9</v>
      </c>
      <c r="J286" s="6" t="n">
        <f aca="false">Sheet1_Original_Data!J285</f>
        <v>3.09</v>
      </c>
      <c r="K286" s="6" t="n">
        <f aca="false">Sheet1_Original_Data!K285</f>
        <v>0</v>
      </c>
      <c r="L286" s="6" t="n">
        <f aca="false">Sheet1_Original_Data!L285</f>
        <v>4</v>
      </c>
      <c r="M286" s="6" t="n">
        <f aca="false">Sheet1_Original_Data!M285</f>
        <v>555557.77</v>
      </c>
      <c r="N286" s="6" t="n">
        <f aca="false">Sheet1_Original_Data!N285</f>
        <v>86475.51</v>
      </c>
      <c r="O286" s="4" t="n">
        <f aca="false">IF(Sheet1_Original_Data!J285="",MEDIAN(Sheet1_Original_Data!$J$4:$J$323),Sheet1_Original_Data!J285)</f>
        <v>3.09</v>
      </c>
      <c r="P286" s="4" t="n">
        <f aca="false">IF(Sheet1_Original_Data!L285="",MEDIAN(Sheet1_Original_Data!$L$4:$L$323),Sheet1_Original_Data!L285)</f>
        <v>4</v>
      </c>
    </row>
    <row r="287" customFormat="false" ht="15" hidden="false" customHeight="false" outlineLevel="0" collapsed="false">
      <c r="A287" s="6" t="str">
        <f aca="false">Sheet1_Original_Data!A286</f>
        <v>STR-1071</v>
      </c>
      <c r="B287" s="6" t="str">
        <f aca="false">Sheet1_Original_Data!B286</f>
        <v>2025-03-01</v>
      </c>
      <c r="C287" s="6" t="str">
        <f aca="false">Sheet1_Original_Data!C286</f>
        <v>South</v>
      </c>
      <c r="D287" s="6" t="str">
        <f aca="false">Sheet1_Original_Data!D286</f>
        <v>High Street</v>
      </c>
      <c r="E287" s="6" t="n">
        <f aca="false">Sheet1_Original_Data!E286</f>
        <v>66104.19</v>
      </c>
      <c r="F287" s="6" t="n">
        <f aca="false">Sheet1_Original_Data!F286</f>
        <v>5745</v>
      </c>
      <c r="G287" s="6" t="n">
        <f aca="false">Sheet1_Original_Data!G286</f>
        <v>0.07</v>
      </c>
      <c r="H287" s="6" t="n">
        <f aca="false">Sheet1_Original_Data!H286</f>
        <v>17</v>
      </c>
      <c r="I287" s="6" t="n">
        <f aca="false">Sheet1_Original_Data!I286</f>
        <v>95.8</v>
      </c>
      <c r="J287" s="6" t="n">
        <f aca="false">Sheet1_Original_Data!J286</f>
        <v>3.15</v>
      </c>
      <c r="K287" s="6" t="n">
        <f aca="false">Sheet1_Original_Data!K286</f>
        <v>0</v>
      </c>
      <c r="L287" s="6" t="n">
        <f aca="false">Sheet1_Original_Data!L286</f>
        <v>4</v>
      </c>
      <c r="M287" s="6" t="n">
        <f aca="false">Sheet1_Original_Data!M286</f>
        <v>714083.68</v>
      </c>
      <c r="N287" s="6" t="n">
        <f aca="false">Sheet1_Original_Data!N286</f>
        <v>127231.74</v>
      </c>
      <c r="O287" s="4" t="n">
        <f aca="false">IF(Sheet1_Original_Data!J286="",MEDIAN(Sheet1_Original_Data!$J$4:$J$323),Sheet1_Original_Data!J286)</f>
        <v>3.15</v>
      </c>
      <c r="P287" s="4" t="n">
        <f aca="false">IF(Sheet1_Original_Data!L286="",MEDIAN(Sheet1_Original_Data!$L$4:$L$323),Sheet1_Original_Data!L286)</f>
        <v>4</v>
      </c>
    </row>
    <row r="288" customFormat="false" ht="15" hidden="false" customHeight="false" outlineLevel="0" collapsed="false">
      <c r="A288" s="6" t="str">
        <f aca="false">Sheet1_Original_Data!A287</f>
        <v>STR-1071</v>
      </c>
      <c r="B288" s="6" t="str">
        <f aca="false">Sheet1_Original_Data!B287</f>
        <v>2025-04-01</v>
      </c>
      <c r="C288" s="6" t="str">
        <f aca="false">Sheet1_Original_Data!C287</f>
        <v>South</v>
      </c>
      <c r="D288" s="6" t="str">
        <f aca="false">Sheet1_Original_Data!D287</f>
        <v>High Street</v>
      </c>
      <c r="E288" s="6" t="n">
        <f aca="false">Sheet1_Original_Data!E287</f>
        <v>18599.21</v>
      </c>
      <c r="F288" s="6" t="n">
        <f aca="false">Sheet1_Original_Data!F287</f>
        <v>3027</v>
      </c>
      <c r="G288" s="6" t="n">
        <f aca="false">Sheet1_Original_Data!G287</f>
        <v>0.122</v>
      </c>
      <c r="H288" s="6" t="n">
        <f aca="false">Sheet1_Original_Data!H287</f>
        <v>11</v>
      </c>
      <c r="I288" s="6" t="n">
        <f aca="false">Sheet1_Original_Data!I287</f>
        <v>80.9</v>
      </c>
      <c r="J288" s="6" t="n">
        <f aca="false">Sheet1_Original_Data!J287</f>
        <v>6.44</v>
      </c>
      <c r="K288" s="6" t="n">
        <f aca="false">Sheet1_Original_Data!K287</f>
        <v>0</v>
      </c>
      <c r="L288" s="6" t="n">
        <f aca="false">Sheet1_Original_Data!L287</f>
        <v>4.2</v>
      </c>
      <c r="M288" s="6" t="n">
        <f aca="false">Sheet1_Original_Data!M287</f>
        <v>497439.82</v>
      </c>
      <c r="N288" s="6" t="n">
        <f aca="false">Sheet1_Original_Data!N287</f>
        <v>93372.75</v>
      </c>
      <c r="O288" s="4" t="n">
        <f aca="false">IF(Sheet1_Original_Data!J287="",MEDIAN(Sheet1_Original_Data!$J$4:$J$323),Sheet1_Original_Data!J287)</f>
        <v>6.44</v>
      </c>
      <c r="P288" s="4" t="n">
        <f aca="false">IF(Sheet1_Original_Data!L287="",MEDIAN(Sheet1_Original_Data!$L$4:$L$323),Sheet1_Original_Data!L287)</f>
        <v>4.2</v>
      </c>
    </row>
    <row r="289" customFormat="false" ht="15" hidden="false" customHeight="false" outlineLevel="0" collapsed="false">
      <c r="A289" s="6" t="str">
        <f aca="false">Sheet1_Original_Data!A288</f>
        <v>STR-1072</v>
      </c>
      <c r="B289" s="6" t="str">
        <f aca="false">Sheet1_Original_Data!B288</f>
        <v>2025-01-01</v>
      </c>
      <c r="C289" s="6" t="str">
        <f aca="false">Sheet1_Original_Data!C288</f>
        <v>West</v>
      </c>
      <c r="D289" s="6" t="str">
        <f aca="false">Sheet1_Original_Data!D288</f>
        <v>Residential</v>
      </c>
      <c r="E289" s="6" t="n">
        <f aca="false">Sheet1_Original_Data!E288</f>
        <v>60183.06</v>
      </c>
      <c r="F289" s="6" t="n">
        <f aca="false">Sheet1_Original_Data!F288</f>
        <v>5562</v>
      </c>
      <c r="G289" s="6" t="n">
        <f aca="false">Sheet1_Original_Data!G288</f>
        <v>0.009</v>
      </c>
      <c r="H289" s="6" t="n">
        <f aca="false">Sheet1_Original_Data!H288</f>
        <v>13</v>
      </c>
      <c r="I289" s="6" t="n">
        <f aca="false">Sheet1_Original_Data!I288</f>
        <v>86.3</v>
      </c>
      <c r="J289" s="6" t="n">
        <f aca="false">Sheet1_Original_Data!J288</f>
        <v>0.2</v>
      </c>
      <c r="K289" s="6" t="n">
        <f aca="false">Sheet1_Original_Data!K288</f>
        <v>1</v>
      </c>
      <c r="L289" s="6" t="n">
        <f aca="false">Sheet1_Original_Data!L288</f>
        <v>4.5</v>
      </c>
      <c r="M289" s="6" t="n">
        <f aca="false">Sheet1_Original_Data!M288</f>
        <v>636775.66</v>
      </c>
      <c r="N289" s="6" t="n">
        <f aca="false">Sheet1_Original_Data!N288</f>
        <v>122636.86</v>
      </c>
      <c r="O289" s="4" t="n">
        <f aca="false">IF(Sheet1_Original_Data!J288="",MEDIAN(Sheet1_Original_Data!$J$4:$J$323),Sheet1_Original_Data!J288)</f>
        <v>0.2</v>
      </c>
      <c r="P289" s="4" t="n">
        <f aca="false">IF(Sheet1_Original_Data!L288="",MEDIAN(Sheet1_Original_Data!$L$4:$L$323),Sheet1_Original_Data!L288)</f>
        <v>4.5</v>
      </c>
    </row>
    <row r="290" customFormat="false" ht="15" hidden="false" customHeight="false" outlineLevel="0" collapsed="false">
      <c r="A290" s="6" t="str">
        <f aca="false">Sheet1_Original_Data!A289</f>
        <v>STR-1072</v>
      </c>
      <c r="B290" s="6" t="str">
        <f aca="false">Sheet1_Original_Data!B289</f>
        <v>2025-02-01</v>
      </c>
      <c r="C290" s="6" t="str">
        <f aca="false">Sheet1_Original_Data!C289</f>
        <v>West</v>
      </c>
      <c r="D290" s="6" t="str">
        <f aca="false">Sheet1_Original_Data!D289</f>
        <v>Residential</v>
      </c>
      <c r="E290" s="6" t="n">
        <f aca="false">Sheet1_Original_Data!E289</f>
        <v>74539.14</v>
      </c>
      <c r="F290" s="6" t="n">
        <f aca="false">Sheet1_Original_Data!F289</f>
        <v>4487</v>
      </c>
      <c r="G290" s="6" t="n">
        <f aca="false">Sheet1_Original_Data!G289</f>
        <v>0.14</v>
      </c>
      <c r="H290" s="6" t="n">
        <f aca="false">Sheet1_Original_Data!H289</f>
        <v>10</v>
      </c>
      <c r="I290" s="6" t="n">
        <f aca="false">Sheet1_Original_Data!I289</f>
        <v>90.4</v>
      </c>
      <c r="J290" s="6" t="n">
        <f aca="false">Sheet1_Original_Data!J289</f>
        <v>0.59</v>
      </c>
      <c r="K290" s="6" t="n">
        <f aca="false">Sheet1_Original_Data!K289</f>
        <v>0</v>
      </c>
      <c r="L290" s="6" t="n">
        <f aca="false">Sheet1_Original_Data!L289</f>
        <v>4.5</v>
      </c>
      <c r="M290" s="6" t="n">
        <f aca="false">Sheet1_Original_Data!M289</f>
        <v>633009.53</v>
      </c>
      <c r="N290" s="6" t="n">
        <f aca="false">Sheet1_Original_Data!N289</f>
        <v>123782.67</v>
      </c>
      <c r="O290" s="4" t="n">
        <f aca="false">IF(Sheet1_Original_Data!J289="",MEDIAN(Sheet1_Original_Data!$J$4:$J$323),Sheet1_Original_Data!J289)</f>
        <v>0.59</v>
      </c>
      <c r="P290" s="4" t="n">
        <f aca="false">IF(Sheet1_Original_Data!L289="",MEDIAN(Sheet1_Original_Data!$L$4:$L$323),Sheet1_Original_Data!L289)</f>
        <v>4.5</v>
      </c>
    </row>
    <row r="291" customFormat="false" ht="15" hidden="false" customHeight="false" outlineLevel="0" collapsed="false">
      <c r="A291" s="6" t="str">
        <f aca="false">Sheet1_Original_Data!A290</f>
        <v>STR-1072</v>
      </c>
      <c r="B291" s="6" t="str">
        <f aca="false">Sheet1_Original_Data!B290</f>
        <v>2025-03-01</v>
      </c>
      <c r="C291" s="6" t="str">
        <f aca="false">Sheet1_Original_Data!C290</f>
        <v>West</v>
      </c>
      <c r="D291" s="6" t="str">
        <f aca="false">Sheet1_Original_Data!D290</f>
        <v>Residential</v>
      </c>
      <c r="E291" s="6" t="n">
        <f aca="false">Sheet1_Original_Data!E290</f>
        <v>55371.97</v>
      </c>
      <c r="F291" s="6" t="n">
        <f aca="false">Sheet1_Original_Data!F290</f>
        <v>4162</v>
      </c>
      <c r="G291" s="6" t="n">
        <f aca="false">Sheet1_Original_Data!G290</f>
        <v>0.183</v>
      </c>
      <c r="H291" s="6" t="n">
        <f aca="false">Sheet1_Original_Data!H290</f>
        <v>11</v>
      </c>
      <c r="I291" s="6" t="n">
        <f aca="false">Sheet1_Original_Data!I290</f>
        <v>92</v>
      </c>
      <c r="J291" s="6" t="n">
        <f aca="false">Sheet1_Original_Data!J290</f>
        <v>0.2</v>
      </c>
      <c r="K291" s="6" t="n">
        <f aca="false">Sheet1_Original_Data!K290</f>
        <v>1</v>
      </c>
      <c r="L291" s="6" t="n">
        <f aca="false">Sheet1_Original_Data!L290</f>
        <v>4.2</v>
      </c>
      <c r="M291" s="6" t="n">
        <f aca="false">Sheet1_Original_Data!M290</f>
        <v>609949</v>
      </c>
      <c r="N291" s="6" t="n">
        <f aca="false">Sheet1_Original_Data!N290</f>
        <v>126789.25</v>
      </c>
      <c r="O291" s="4" t="n">
        <f aca="false">IF(Sheet1_Original_Data!J290="",MEDIAN(Sheet1_Original_Data!$J$4:$J$323),Sheet1_Original_Data!J290)</f>
        <v>0.2</v>
      </c>
      <c r="P291" s="4" t="n">
        <f aca="false">IF(Sheet1_Original_Data!L290="",MEDIAN(Sheet1_Original_Data!$L$4:$L$323),Sheet1_Original_Data!L290)</f>
        <v>4.2</v>
      </c>
    </row>
    <row r="292" customFormat="false" ht="15" hidden="false" customHeight="false" outlineLevel="0" collapsed="false">
      <c r="A292" s="6" t="str">
        <f aca="false">Sheet1_Original_Data!A291</f>
        <v>STR-1072</v>
      </c>
      <c r="B292" s="6" t="str">
        <f aca="false">Sheet1_Original_Data!B291</f>
        <v>2025-04-01</v>
      </c>
      <c r="C292" s="6" t="str">
        <f aca="false">Sheet1_Original_Data!C291</f>
        <v>West</v>
      </c>
      <c r="D292" s="6" t="str">
        <f aca="false">Sheet1_Original_Data!D291</f>
        <v>Residential</v>
      </c>
      <c r="E292" s="6" t="n">
        <f aca="false">Sheet1_Original_Data!E291</f>
        <v>40928.69</v>
      </c>
      <c r="F292" s="6" t="n">
        <f aca="false">Sheet1_Original_Data!F291</f>
        <v>4094</v>
      </c>
      <c r="G292" s="6" t="n">
        <f aca="false">Sheet1_Original_Data!G291</f>
        <v>0.174</v>
      </c>
      <c r="H292" s="6" t="n">
        <f aca="false">Sheet1_Original_Data!H291</f>
        <v>13</v>
      </c>
      <c r="I292" s="6" t="n">
        <f aca="false">Sheet1_Original_Data!I291</f>
        <v>82.4</v>
      </c>
      <c r="J292" s="6" t="n">
        <f aca="false">Sheet1_Original_Data!J291</f>
        <v>1.36</v>
      </c>
      <c r="K292" s="6" t="n">
        <f aca="false">Sheet1_Original_Data!K291</f>
        <v>0</v>
      </c>
      <c r="L292" s="6" t="n">
        <f aca="false">Sheet1_Original_Data!L291</f>
        <v>4.8</v>
      </c>
      <c r="M292" s="6" t="n">
        <f aca="false">Sheet1_Original_Data!M291</f>
        <v>548103.7</v>
      </c>
      <c r="N292" s="6" t="n">
        <f aca="false">Sheet1_Original_Data!N291</f>
        <v>99905.52</v>
      </c>
      <c r="O292" s="4" t="n">
        <f aca="false">IF(Sheet1_Original_Data!J291="",MEDIAN(Sheet1_Original_Data!$J$4:$J$323),Sheet1_Original_Data!J291)</f>
        <v>1.36</v>
      </c>
      <c r="P292" s="4" t="n">
        <f aca="false">IF(Sheet1_Original_Data!L291="",MEDIAN(Sheet1_Original_Data!$L$4:$L$323),Sheet1_Original_Data!L291)</f>
        <v>4.8</v>
      </c>
    </row>
    <row r="293" customFormat="false" ht="15" hidden="false" customHeight="false" outlineLevel="0" collapsed="false">
      <c r="A293" s="6" t="str">
        <f aca="false">Sheet1_Original_Data!A292</f>
        <v>STR-1073</v>
      </c>
      <c r="B293" s="6" t="str">
        <f aca="false">Sheet1_Original_Data!B292</f>
        <v>2025-01-01</v>
      </c>
      <c r="C293" s="6" t="str">
        <f aca="false">Sheet1_Original_Data!C292</f>
        <v>East</v>
      </c>
      <c r="D293" s="6" t="str">
        <f aca="false">Sheet1_Original_Data!D292</f>
        <v>Residential</v>
      </c>
      <c r="E293" s="6" t="n">
        <f aca="false">Sheet1_Original_Data!E292</f>
        <v>70012.41</v>
      </c>
      <c r="F293" s="6" t="n">
        <f aca="false">Sheet1_Original_Data!F292</f>
        <v>8484</v>
      </c>
      <c r="G293" s="6" t="n">
        <f aca="false">Sheet1_Original_Data!G292</f>
        <v>0.273</v>
      </c>
      <c r="H293" s="6" t="n">
        <f aca="false">Sheet1_Original_Data!H292</f>
        <v>23</v>
      </c>
      <c r="I293" s="6" t="n">
        <f aca="false">Sheet1_Original_Data!I292</f>
        <v>72.9</v>
      </c>
      <c r="J293" s="6" t="n">
        <f aca="false">Sheet1_Original_Data!J292</f>
        <v>3.34</v>
      </c>
      <c r="K293" s="6" t="n">
        <f aca="false">Sheet1_Original_Data!K292</f>
        <v>0</v>
      </c>
      <c r="L293" s="6" t="n">
        <f aca="false">Sheet1_Original_Data!L292</f>
        <v>3.7</v>
      </c>
      <c r="M293" s="6" t="n">
        <f aca="false">Sheet1_Original_Data!M292</f>
        <v>729424.42</v>
      </c>
      <c r="N293" s="6" t="n">
        <f aca="false">Sheet1_Original_Data!N292</f>
        <v>75592.28</v>
      </c>
      <c r="O293" s="4" t="n">
        <f aca="false">IF(Sheet1_Original_Data!J292="",MEDIAN(Sheet1_Original_Data!$J$4:$J$323),Sheet1_Original_Data!J292)</f>
        <v>3.34</v>
      </c>
      <c r="P293" s="4" t="n">
        <f aca="false">IF(Sheet1_Original_Data!L292="",MEDIAN(Sheet1_Original_Data!$L$4:$L$323),Sheet1_Original_Data!L292)</f>
        <v>3.7</v>
      </c>
    </row>
    <row r="294" customFormat="false" ht="15" hidden="false" customHeight="false" outlineLevel="0" collapsed="false">
      <c r="A294" s="6" t="str">
        <f aca="false">Sheet1_Original_Data!A293</f>
        <v>STR-1073</v>
      </c>
      <c r="B294" s="6" t="str">
        <f aca="false">Sheet1_Original_Data!B293</f>
        <v>2025-02-01</v>
      </c>
      <c r="C294" s="6" t="str">
        <f aca="false">Sheet1_Original_Data!C293</f>
        <v>East</v>
      </c>
      <c r="D294" s="6" t="str">
        <f aca="false">Sheet1_Original_Data!D293</f>
        <v>Residential</v>
      </c>
      <c r="E294" s="6" t="n">
        <f aca="false">Sheet1_Original_Data!E293</f>
        <v>68909.26</v>
      </c>
      <c r="F294" s="6" t="n">
        <f aca="false">Sheet1_Original_Data!F293</f>
        <v>7794</v>
      </c>
      <c r="G294" s="6" t="n">
        <f aca="false">Sheet1_Original_Data!G293</f>
        <v>0.284</v>
      </c>
      <c r="H294" s="6" t="n">
        <f aca="false">Sheet1_Original_Data!H293</f>
        <v>22</v>
      </c>
      <c r="I294" s="6" t="n">
        <f aca="false">Sheet1_Original_Data!I293</f>
        <v>89</v>
      </c>
      <c r="J294" s="6" t="n">
        <f aca="false">Sheet1_Original_Data!J293</f>
        <v>0.33</v>
      </c>
      <c r="K294" s="6" t="n">
        <f aca="false">Sheet1_Original_Data!K293</f>
        <v>0</v>
      </c>
      <c r="L294" s="6" t="n">
        <f aca="false">Sheet1_Original_Data!L293</f>
        <v>4</v>
      </c>
      <c r="M294" s="6" t="n">
        <f aca="false">Sheet1_Original_Data!M293</f>
        <v>696261.49</v>
      </c>
      <c r="N294" s="6" t="n">
        <f aca="false">Sheet1_Original_Data!N293</f>
        <v>72455.35</v>
      </c>
      <c r="O294" s="4" t="n">
        <f aca="false">IF(Sheet1_Original_Data!J293="",MEDIAN(Sheet1_Original_Data!$J$4:$J$323),Sheet1_Original_Data!J293)</f>
        <v>0.33</v>
      </c>
      <c r="P294" s="4" t="n">
        <f aca="false">IF(Sheet1_Original_Data!L293="",MEDIAN(Sheet1_Original_Data!$L$4:$L$323),Sheet1_Original_Data!L293)</f>
        <v>4</v>
      </c>
    </row>
    <row r="295" customFormat="false" ht="15" hidden="false" customHeight="false" outlineLevel="0" collapsed="false">
      <c r="A295" s="6" t="str">
        <f aca="false">Sheet1_Original_Data!A294</f>
        <v>STR-1073</v>
      </c>
      <c r="B295" s="6" t="str">
        <f aca="false">Sheet1_Original_Data!B294</f>
        <v>2025-03-01</v>
      </c>
      <c r="C295" s="6" t="str">
        <f aca="false">Sheet1_Original_Data!C294</f>
        <v>East</v>
      </c>
      <c r="D295" s="6" t="str">
        <f aca="false">Sheet1_Original_Data!D294</f>
        <v>Residential</v>
      </c>
      <c r="E295" s="6" t="n">
        <f aca="false">Sheet1_Original_Data!E294</f>
        <v>56737.3</v>
      </c>
      <c r="F295" s="6" t="n">
        <f aca="false">Sheet1_Original_Data!F294</f>
        <v>8300</v>
      </c>
      <c r="G295" s="6" t="n">
        <f aca="false">Sheet1_Original_Data!G294</f>
        <v>0.032</v>
      </c>
      <c r="H295" s="6" t="n">
        <f aca="false">Sheet1_Original_Data!H294</f>
        <v>21</v>
      </c>
      <c r="I295" s="6" t="n">
        <f aca="false">Sheet1_Original_Data!I294</f>
        <v>83.2</v>
      </c>
      <c r="J295" s="6" t="n">
        <f aca="false">Sheet1_Original_Data!J294</f>
        <v>3.44</v>
      </c>
      <c r="K295" s="6" t="n">
        <f aca="false">Sheet1_Original_Data!K294</f>
        <v>1</v>
      </c>
      <c r="L295" s="6" t="n">
        <f aca="false">Sheet1_Original_Data!L294</f>
        <v>4.3</v>
      </c>
      <c r="M295" s="6" t="n">
        <f aca="false">Sheet1_Original_Data!M294</f>
        <v>813316.71</v>
      </c>
      <c r="N295" s="6" t="n">
        <f aca="false">Sheet1_Original_Data!N294</f>
        <v>110077.42</v>
      </c>
      <c r="O295" s="4" t="n">
        <f aca="false">IF(Sheet1_Original_Data!J294="",MEDIAN(Sheet1_Original_Data!$J$4:$J$323),Sheet1_Original_Data!J294)</f>
        <v>3.44</v>
      </c>
      <c r="P295" s="4" t="n">
        <f aca="false">IF(Sheet1_Original_Data!L294="",MEDIAN(Sheet1_Original_Data!$L$4:$L$323),Sheet1_Original_Data!L294)</f>
        <v>4.3</v>
      </c>
    </row>
    <row r="296" customFormat="false" ht="15" hidden="false" customHeight="false" outlineLevel="0" collapsed="false">
      <c r="A296" s="6" t="str">
        <f aca="false">Sheet1_Original_Data!A295</f>
        <v>STR-1073</v>
      </c>
      <c r="B296" s="6" t="str">
        <f aca="false">Sheet1_Original_Data!B295</f>
        <v>2025-04-01</v>
      </c>
      <c r="C296" s="6" t="str">
        <f aca="false">Sheet1_Original_Data!C295</f>
        <v>East</v>
      </c>
      <c r="D296" s="6" t="str">
        <f aca="false">Sheet1_Original_Data!D295</f>
        <v>Residential</v>
      </c>
      <c r="E296" s="6" t="n">
        <f aca="false">Sheet1_Original_Data!E295</f>
        <v>54080.91</v>
      </c>
      <c r="F296" s="6" t="n">
        <f aca="false">Sheet1_Original_Data!F295</f>
        <v>7083</v>
      </c>
      <c r="G296" s="6" t="n">
        <f aca="false">Sheet1_Original_Data!G295</f>
        <v>0</v>
      </c>
      <c r="H296" s="6" t="n">
        <f aca="false">Sheet1_Original_Data!H295</f>
        <v>15</v>
      </c>
      <c r="I296" s="6" t="n">
        <f aca="false">Sheet1_Original_Data!I295</f>
        <v>97</v>
      </c>
      <c r="J296" s="6" t="n">
        <f aca="false">Sheet1_Original_Data!J295</f>
        <v>5.33</v>
      </c>
      <c r="K296" s="6" t="n">
        <f aca="false">Sheet1_Original_Data!K295</f>
        <v>0</v>
      </c>
      <c r="L296" s="6" t="n">
        <f aca="false">Sheet1_Original_Data!L295</f>
        <v>4.1</v>
      </c>
      <c r="M296" s="6" t="n">
        <f aca="false">Sheet1_Original_Data!M295</f>
        <v>702068.92</v>
      </c>
      <c r="N296" s="6" t="n">
        <f aca="false">Sheet1_Original_Data!N295</f>
        <v>111266.63</v>
      </c>
      <c r="O296" s="4" t="n">
        <f aca="false">IF(Sheet1_Original_Data!J295="",MEDIAN(Sheet1_Original_Data!$J$4:$J$323),Sheet1_Original_Data!J295)</f>
        <v>5.33</v>
      </c>
      <c r="P296" s="4" t="n">
        <f aca="false">IF(Sheet1_Original_Data!L295="",MEDIAN(Sheet1_Original_Data!$L$4:$L$323),Sheet1_Original_Data!L295)</f>
        <v>4.1</v>
      </c>
    </row>
    <row r="297" customFormat="false" ht="15" hidden="false" customHeight="false" outlineLevel="0" collapsed="false">
      <c r="A297" s="6" t="str">
        <f aca="false">Sheet1_Original_Data!A296</f>
        <v>STR-1074</v>
      </c>
      <c r="B297" s="6" t="str">
        <f aca="false">Sheet1_Original_Data!B296</f>
        <v>2025-01-01</v>
      </c>
      <c r="C297" s="6" t="str">
        <f aca="false">Sheet1_Original_Data!C296</f>
        <v>West</v>
      </c>
      <c r="D297" s="6" t="str">
        <f aca="false">Sheet1_Original_Data!D296</f>
        <v>High Street</v>
      </c>
      <c r="E297" s="6" t="n">
        <f aca="false">Sheet1_Original_Data!E296</f>
        <v>51996.32</v>
      </c>
      <c r="F297" s="6" t="n">
        <f aca="false">Sheet1_Original_Data!F296</f>
        <v>3834</v>
      </c>
      <c r="G297" s="6" t="n">
        <f aca="false">Sheet1_Original_Data!G296</f>
        <v>0.096</v>
      </c>
      <c r="H297" s="6" t="n">
        <f aca="false">Sheet1_Original_Data!H296</f>
        <v>8</v>
      </c>
      <c r="I297" s="6" t="n">
        <f aca="false">Sheet1_Original_Data!I296</f>
        <v>86.7</v>
      </c>
      <c r="J297" s="6" t="n">
        <f aca="false">Sheet1_Original_Data!J296</f>
        <v>6.04</v>
      </c>
      <c r="K297" s="6" t="n">
        <f aca="false">Sheet1_Original_Data!K296</f>
        <v>0</v>
      </c>
      <c r="L297" s="6" t="n">
        <f aca="false">Sheet1_Original_Data!L296</f>
        <v>4.5</v>
      </c>
      <c r="M297" s="6" t="n">
        <f aca="false">Sheet1_Original_Data!M296</f>
        <v>546223.7</v>
      </c>
      <c r="N297" s="6" t="n">
        <f aca="false">Sheet1_Original_Data!N296</f>
        <v>100769.17</v>
      </c>
      <c r="O297" s="4" t="n">
        <f aca="false">IF(Sheet1_Original_Data!J296="",MEDIAN(Sheet1_Original_Data!$J$4:$J$323),Sheet1_Original_Data!J296)</f>
        <v>6.04</v>
      </c>
      <c r="P297" s="4" t="n">
        <f aca="false">IF(Sheet1_Original_Data!L296="",MEDIAN(Sheet1_Original_Data!$L$4:$L$323),Sheet1_Original_Data!L296)</f>
        <v>4.5</v>
      </c>
    </row>
    <row r="298" customFormat="false" ht="15" hidden="false" customHeight="false" outlineLevel="0" collapsed="false">
      <c r="A298" s="6" t="str">
        <f aca="false">Sheet1_Original_Data!A297</f>
        <v>STR-1074</v>
      </c>
      <c r="B298" s="6" t="str">
        <f aca="false">Sheet1_Original_Data!B297</f>
        <v>2025-02-01</v>
      </c>
      <c r="C298" s="6" t="str">
        <f aca="false">Sheet1_Original_Data!C297</f>
        <v>West</v>
      </c>
      <c r="D298" s="6" t="str">
        <f aca="false">Sheet1_Original_Data!D297</f>
        <v>High Street</v>
      </c>
      <c r="E298" s="6" t="n">
        <f aca="false">Sheet1_Original_Data!E297</f>
        <v>40102.88</v>
      </c>
      <c r="F298" s="6" t="n">
        <f aca="false">Sheet1_Original_Data!F297</f>
        <v>2358</v>
      </c>
      <c r="G298" s="6" t="n">
        <f aca="false">Sheet1_Original_Data!G297</f>
        <v>0.119</v>
      </c>
      <c r="H298" s="6" t="n">
        <f aca="false">Sheet1_Original_Data!H297</f>
        <v>9</v>
      </c>
      <c r="I298" s="6" t="n">
        <f aca="false">Sheet1_Original_Data!I297</f>
        <v>88.7</v>
      </c>
      <c r="J298" s="6" t="n">
        <f aca="false">Sheet1_Original_Data!J297</f>
        <v>1.6</v>
      </c>
      <c r="K298" s="6" t="n">
        <f aca="false">Sheet1_Original_Data!K297</f>
        <v>0</v>
      </c>
      <c r="L298" s="6" t="n">
        <f aca="false">Sheet1_Original_Data!L297</f>
        <v>4.2</v>
      </c>
      <c r="M298" s="6" t="n">
        <f aca="false">Sheet1_Original_Data!M297</f>
        <v>533121.26</v>
      </c>
      <c r="N298" s="6" t="n">
        <f aca="false">Sheet1_Original_Data!N297</f>
        <v>55063.39</v>
      </c>
      <c r="O298" s="4" t="n">
        <f aca="false">IF(Sheet1_Original_Data!J297="",MEDIAN(Sheet1_Original_Data!$J$4:$J$323),Sheet1_Original_Data!J297)</f>
        <v>1.6</v>
      </c>
      <c r="P298" s="4" t="n">
        <f aca="false">IF(Sheet1_Original_Data!L297="",MEDIAN(Sheet1_Original_Data!$L$4:$L$323),Sheet1_Original_Data!L297)</f>
        <v>4.2</v>
      </c>
    </row>
    <row r="299" customFormat="false" ht="15" hidden="false" customHeight="false" outlineLevel="0" collapsed="false">
      <c r="A299" s="6" t="str">
        <f aca="false">Sheet1_Original_Data!A298</f>
        <v>STR-1074</v>
      </c>
      <c r="B299" s="6" t="str">
        <f aca="false">Sheet1_Original_Data!B298</f>
        <v>2025-03-01</v>
      </c>
      <c r="C299" s="6" t="str">
        <f aca="false">Sheet1_Original_Data!C298</f>
        <v>West</v>
      </c>
      <c r="D299" s="6" t="str">
        <f aca="false">Sheet1_Original_Data!D298</f>
        <v>High Street</v>
      </c>
      <c r="E299" s="6" t="n">
        <f aca="false">Sheet1_Original_Data!E298</f>
        <v>59825.51</v>
      </c>
      <c r="F299" s="6" t="n">
        <f aca="false">Sheet1_Original_Data!F298</f>
        <v>1231</v>
      </c>
      <c r="G299" s="6" t="n">
        <f aca="false">Sheet1_Original_Data!G298</f>
        <v>0.214</v>
      </c>
      <c r="H299" s="6" t="n">
        <f aca="false">Sheet1_Original_Data!H298</f>
        <v>10</v>
      </c>
      <c r="I299" s="6" t="n">
        <f aca="false">Sheet1_Original_Data!I298</f>
        <v>84.8</v>
      </c>
      <c r="J299" s="6" t="n">
        <f aca="false">Sheet1_Original_Data!J298</f>
        <v>8.96</v>
      </c>
      <c r="K299" s="6" t="n">
        <f aca="false">Sheet1_Original_Data!K298</f>
        <v>0</v>
      </c>
      <c r="L299" s="6" t="n">
        <f aca="false">Sheet1_Original_Data!L298</f>
        <v>4.7</v>
      </c>
      <c r="M299" s="6" t="n">
        <f aca="false">Sheet1_Original_Data!M298</f>
        <v>498970.32</v>
      </c>
      <c r="N299" s="6" t="n">
        <f aca="false">Sheet1_Original_Data!N298</f>
        <v>69656.7</v>
      </c>
      <c r="O299" s="4" t="n">
        <f aca="false">IF(Sheet1_Original_Data!J298="",MEDIAN(Sheet1_Original_Data!$J$4:$J$323),Sheet1_Original_Data!J298)</f>
        <v>8.96</v>
      </c>
      <c r="P299" s="4" t="n">
        <f aca="false">IF(Sheet1_Original_Data!L298="",MEDIAN(Sheet1_Original_Data!$L$4:$L$323),Sheet1_Original_Data!L298)</f>
        <v>4.7</v>
      </c>
    </row>
    <row r="300" customFormat="false" ht="15" hidden="false" customHeight="false" outlineLevel="0" collapsed="false">
      <c r="A300" s="6" t="str">
        <f aca="false">Sheet1_Original_Data!A299</f>
        <v>STR-1074</v>
      </c>
      <c r="B300" s="6" t="str">
        <f aca="false">Sheet1_Original_Data!B299</f>
        <v>2025-04-01</v>
      </c>
      <c r="C300" s="6" t="str">
        <f aca="false">Sheet1_Original_Data!C299</f>
        <v>West</v>
      </c>
      <c r="D300" s="6" t="str">
        <f aca="false">Sheet1_Original_Data!D299</f>
        <v>High Street</v>
      </c>
      <c r="E300" s="6" t="n">
        <f aca="false">Sheet1_Original_Data!E299</f>
        <v>27398.28</v>
      </c>
      <c r="F300" s="6" t="n">
        <f aca="false">Sheet1_Original_Data!F299</f>
        <v>1723</v>
      </c>
      <c r="G300" s="6" t="n">
        <f aca="false">Sheet1_Original_Data!G299</f>
        <v>0.171</v>
      </c>
      <c r="H300" s="6" t="n">
        <f aca="false">Sheet1_Original_Data!H299</f>
        <v>9</v>
      </c>
      <c r="I300" s="6" t="n">
        <f aca="false">Sheet1_Original_Data!I299</f>
        <v>81</v>
      </c>
      <c r="J300" s="6" t="n">
        <f aca="false">Sheet1_Original_Data!J299</f>
        <v>0.74</v>
      </c>
      <c r="K300" s="6" t="n">
        <f aca="false">Sheet1_Original_Data!K299</f>
        <v>0</v>
      </c>
      <c r="L300" s="6" t="n">
        <f aca="false">Sheet1_Original_Data!L299</f>
        <v>4.6</v>
      </c>
      <c r="M300" s="6" t="n">
        <f aca="false">Sheet1_Original_Data!M299</f>
        <v>487738.26</v>
      </c>
      <c r="N300" s="6" t="n">
        <f aca="false">Sheet1_Original_Data!N299</f>
        <v>96435.6</v>
      </c>
      <c r="O300" s="4" t="n">
        <f aca="false">IF(Sheet1_Original_Data!J299="",MEDIAN(Sheet1_Original_Data!$J$4:$J$323),Sheet1_Original_Data!J299)</f>
        <v>0.74</v>
      </c>
      <c r="P300" s="4" t="n">
        <f aca="false">IF(Sheet1_Original_Data!L299="",MEDIAN(Sheet1_Original_Data!$L$4:$L$323),Sheet1_Original_Data!L299)</f>
        <v>4.6</v>
      </c>
    </row>
    <row r="301" customFormat="false" ht="15" hidden="false" customHeight="false" outlineLevel="0" collapsed="false">
      <c r="A301" s="6" t="str">
        <f aca="false">Sheet1_Original_Data!A300</f>
        <v>STR-1075</v>
      </c>
      <c r="B301" s="6" t="str">
        <f aca="false">Sheet1_Original_Data!B300</f>
        <v>2025-01-01</v>
      </c>
      <c r="C301" s="6" t="str">
        <f aca="false">Sheet1_Original_Data!C300</f>
        <v>West</v>
      </c>
      <c r="D301" s="6" t="str">
        <f aca="false">Sheet1_Original_Data!D300</f>
        <v>High Street</v>
      </c>
      <c r="E301" s="6" t="n">
        <f aca="false">Sheet1_Original_Data!E300</f>
        <v>55599.56</v>
      </c>
      <c r="F301" s="6" t="n">
        <f aca="false">Sheet1_Original_Data!F300</f>
        <v>5896</v>
      </c>
      <c r="G301" s="6" t="n">
        <f aca="false">Sheet1_Original_Data!G300</f>
        <v>0.036</v>
      </c>
      <c r="H301" s="6" t="n">
        <f aca="false">Sheet1_Original_Data!H300</f>
        <v>12</v>
      </c>
      <c r="I301" s="6" t="n">
        <f aca="false">Sheet1_Original_Data!I300</f>
        <v>93.1</v>
      </c>
      <c r="J301" s="6" t="n">
        <f aca="false">Sheet1_Original_Data!J300</f>
        <v>6.13</v>
      </c>
      <c r="K301" s="6" t="n">
        <f aca="false">Sheet1_Original_Data!K300</f>
        <v>0</v>
      </c>
      <c r="L301" s="6" t="n">
        <f aca="false">Sheet1_Original_Data!L300</f>
        <v>3.3</v>
      </c>
      <c r="M301" s="6" t="n">
        <f aca="false">Sheet1_Original_Data!M300</f>
        <v>668459.37</v>
      </c>
      <c r="N301" s="6" t="n">
        <f aca="false">Sheet1_Original_Data!N300</f>
        <v>126435.42</v>
      </c>
      <c r="O301" s="4" t="n">
        <f aca="false">IF(Sheet1_Original_Data!J300="",MEDIAN(Sheet1_Original_Data!$J$4:$J$323),Sheet1_Original_Data!J300)</f>
        <v>6.13</v>
      </c>
      <c r="P301" s="4" t="n">
        <f aca="false">IF(Sheet1_Original_Data!L300="",MEDIAN(Sheet1_Original_Data!$L$4:$L$323),Sheet1_Original_Data!L300)</f>
        <v>3.3</v>
      </c>
    </row>
    <row r="302" customFormat="false" ht="15" hidden="false" customHeight="false" outlineLevel="0" collapsed="false">
      <c r="A302" s="6" t="str">
        <f aca="false">Sheet1_Original_Data!A301</f>
        <v>STR-1075</v>
      </c>
      <c r="B302" s="6" t="str">
        <f aca="false">Sheet1_Original_Data!B301</f>
        <v>2025-02-01</v>
      </c>
      <c r="C302" s="6" t="str">
        <f aca="false">Sheet1_Original_Data!C301</f>
        <v>West</v>
      </c>
      <c r="D302" s="6" t="str">
        <f aca="false">Sheet1_Original_Data!D301</f>
        <v>High Street</v>
      </c>
      <c r="E302" s="6" t="n">
        <f aca="false">Sheet1_Original_Data!E301</f>
        <v>55477.61</v>
      </c>
      <c r="F302" s="6" t="n">
        <f aca="false">Sheet1_Original_Data!F301</f>
        <v>5903</v>
      </c>
      <c r="G302" s="6" t="n">
        <f aca="false">Sheet1_Original_Data!G301</f>
        <v>0.102</v>
      </c>
      <c r="H302" s="6" t="n">
        <f aca="false">Sheet1_Original_Data!H301</f>
        <v>14</v>
      </c>
      <c r="I302" s="6" t="n">
        <f aca="false">Sheet1_Original_Data!I301</f>
        <v>96.2</v>
      </c>
      <c r="J302" s="6" t="n">
        <f aca="false">Sheet1_Original_Data!J301</f>
        <v>1.41</v>
      </c>
      <c r="K302" s="6" t="n">
        <f aca="false">Sheet1_Original_Data!K301</f>
        <v>0</v>
      </c>
      <c r="L302" s="6" t="n">
        <f aca="false">Sheet1_Original_Data!L301</f>
        <v>3.3</v>
      </c>
      <c r="M302" s="6" t="n">
        <f aca="false">Sheet1_Original_Data!M301</f>
        <v>763162.45</v>
      </c>
      <c r="N302" s="6" t="n">
        <f aca="false">Sheet1_Original_Data!N301</f>
        <v>162524.05</v>
      </c>
      <c r="O302" s="4" t="n">
        <f aca="false">IF(Sheet1_Original_Data!J301="",MEDIAN(Sheet1_Original_Data!$J$4:$J$323),Sheet1_Original_Data!J301)</f>
        <v>1.41</v>
      </c>
      <c r="P302" s="4" t="n">
        <f aca="false">IF(Sheet1_Original_Data!L301="",MEDIAN(Sheet1_Original_Data!$L$4:$L$323),Sheet1_Original_Data!L301)</f>
        <v>3.3</v>
      </c>
    </row>
    <row r="303" customFormat="false" ht="15" hidden="false" customHeight="false" outlineLevel="0" collapsed="false">
      <c r="A303" s="6" t="str">
        <f aca="false">Sheet1_Original_Data!A302</f>
        <v>STR-1075</v>
      </c>
      <c r="B303" s="6" t="str">
        <f aca="false">Sheet1_Original_Data!B302</f>
        <v>2025-03-01</v>
      </c>
      <c r="C303" s="6" t="str">
        <f aca="false">Sheet1_Original_Data!C302</f>
        <v>West</v>
      </c>
      <c r="D303" s="6" t="str">
        <f aca="false">Sheet1_Original_Data!D302</f>
        <v>High Street</v>
      </c>
      <c r="E303" s="6" t="n">
        <f aca="false">Sheet1_Original_Data!E302</f>
        <v>46174.7</v>
      </c>
      <c r="F303" s="6" t="n">
        <f aca="false">Sheet1_Original_Data!F302</f>
        <v>4898</v>
      </c>
      <c r="G303" s="6" t="n">
        <f aca="false">Sheet1_Original_Data!G302</f>
        <v>0.114</v>
      </c>
      <c r="H303" s="6" t="n">
        <f aca="false">Sheet1_Original_Data!H302</f>
        <v>11</v>
      </c>
      <c r="I303" s="6" t="n">
        <f aca="false">Sheet1_Original_Data!I302</f>
        <v>91.7</v>
      </c>
      <c r="J303" s="6" t="n">
        <f aca="false">Sheet1_Original_Data!J302</f>
        <v>3.75</v>
      </c>
      <c r="K303" s="6" t="n">
        <f aca="false">Sheet1_Original_Data!K302</f>
        <v>0</v>
      </c>
      <c r="L303" s="6" t="n">
        <f aca="false">Sheet1_Original_Data!L302</f>
        <v>3.1</v>
      </c>
      <c r="M303" s="6" t="n">
        <f aca="false">Sheet1_Original_Data!M302</f>
        <v>599017.33</v>
      </c>
      <c r="N303" s="6" t="n">
        <f aca="false">Sheet1_Original_Data!N302</f>
        <v>134009.92</v>
      </c>
      <c r="O303" s="4" t="n">
        <f aca="false">IF(Sheet1_Original_Data!J302="",MEDIAN(Sheet1_Original_Data!$J$4:$J$323),Sheet1_Original_Data!J302)</f>
        <v>3.75</v>
      </c>
      <c r="P303" s="4" t="n">
        <f aca="false">IF(Sheet1_Original_Data!L302="",MEDIAN(Sheet1_Original_Data!$L$4:$L$323),Sheet1_Original_Data!L302)</f>
        <v>3.1</v>
      </c>
    </row>
    <row r="304" customFormat="false" ht="15" hidden="false" customHeight="false" outlineLevel="0" collapsed="false">
      <c r="A304" s="6" t="str">
        <f aca="false">Sheet1_Original_Data!A303</f>
        <v>STR-1075</v>
      </c>
      <c r="B304" s="6" t="str">
        <f aca="false">Sheet1_Original_Data!B303</f>
        <v>2025-04-01</v>
      </c>
      <c r="C304" s="6" t="str">
        <f aca="false">Sheet1_Original_Data!C303</f>
        <v>West</v>
      </c>
      <c r="D304" s="6" t="str">
        <f aca="false">Sheet1_Original_Data!D303</f>
        <v>High Street</v>
      </c>
      <c r="E304" s="6" t="n">
        <f aca="false">Sheet1_Original_Data!E303</f>
        <v>24362.98</v>
      </c>
      <c r="F304" s="6" t="n">
        <f aca="false">Sheet1_Original_Data!F303</f>
        <v>1462</v>
      </c>
      <c r="G304" s="6" t="n">
        <f aca="false">Sheet1_Original_Data!G303</f>
        <v>0.117</v>
      </c>
      <c r="H304" s="6" t="n">
        <f aca="false">Sheet1_Original_Data!H303</f>
        <v>6</v>
      </c>
      <c r="I304" s="6" t="n">
        <f aca="false">Sheet1_Original_Data!I303</f>
        <v>89.3</v>
      </c>
      <c r="J304" s="6" t="n">
        <f aca="false">Sheet1_Original_Data!J303</f>
        <v>15.06</v>
      </c>
      <c r="K304" s="6" t="n">
        <f aca="false">Sheet1_Original_Data!K303</f>
        <v>0</v>
      </c>
      <c r="L304" s="6" t="n">
        <f aca="false">Sheet1_Original_Data!L303</f>
        <v>3.2</v>
      </c>
      <c r="M304" s="6" t="n">
        <f aca="false">Sheet1_Original_Data!M303</f>
        <v>401582.58</v>
      </c>
      <c r="N304" s="6" t="n">
        <f aca="false">Sheet1_Original_Data!N303</f>
        <v>68454.93</v>
      </c>
      <c r="O304" s="4" t="n">
        <f aca="false">IF(Sheet1_Original_Data!J303="",MEDIAN(Sheet1_Original_Data!$J$4:$J$323),Sheet1_Original_Data!J303)</f>
        <v>15.06</v>
      </c>
      <c r="P304" s="4" t="n">
        <f aca="false">IF(Sheet1_Original_Data!L303="",MEDIAN(Sheet1_Original_Data!$L$4:$L$323),Sheet1_Original_Data!L303)</f>
        <v>3.2</v>
      </c>
    </row>
    <row r="305" customFormat="false" ht="15" hidden="false" customHeight="false" outlineLevel="0" collapsed="false">
      <c r="A305" s="6" t="str">
        <f aca="false">Sheet1_Original_Data!A304</f>
        <v>STR-1076</v>
      </c>
      <c r="B305" s="6" t="str">
        <f aca="false">Sheet1_Original_Data!B304</f>
        <v>2025-01-01</v>
      </c>
      <c r="C305" s="6" t="str">
        <f aca="false">Sheet1_Original_Data!C304</f>
        <v>North</v>
      </c>
      <c r="D305" s="6" t="str">
        <f aca="false">Sheet1_Original_Data!D304</f>
        <v>Mall</v>
      </c>
      <c r="E305" s="6" t="n">
        <f aca="false">Sheet1_Original_Data!E304</f>
        <v>40647.67</v>
      </c>
      <c r="F305" s="6" t="n">
        <f aca="false">Sheet1_Original_Data!F304</f>
        <v>8252</v>
      </c>
      <c r="G305" s="6" t="n">
        <f aca="false">Sheet1_Original_Data!G304</f>
        <v>0.141</v>
      </c>
      <c r="H305" s="6" t="n">
        <f aca="false">Sheet1_Original_Data!H304</f>
        <v>22</v>
      </c>
      <c r="I305" s="6" t="n">
        <f aca="false">Sheet1_Original_Data!I304</f>
        <v>88.2</v>
      </c>
      <c r="J305" s="6" t="n">
        <f aca="false">Sheet1_Original_Data!J304</f>
        <v>5.07</v>
      </c>
      <c r="K305" s="6" t="n">
        <f aca="false">Sheet1_Original_Data!K304</f>
        <v>1</v>
      </c>
      <c r="L305" s="6" t="n">
        <f aca="false">Sheet1_Original_Data!L304</f>
        <v>4.1</v>
      </c>
      <c r="M305" s="6" t="n">
        <f aca="false">Sheet1_Original_Data!M304</f>
        <v>703812.99</v>
      </c>
      <c r="N305" s="6" t="n">
        <f aca="false">Sheet1_Original_Data!N304</f>
        <v>133577.98</v>
      </c>
      <c r="O305" s="4" t="n">
        <f aca="false">IF(Sheet1_Original_Data!J304="",MEDIAN(Sheet1_Original_Data!$J$4:$J$323),Sheet1_Original_Data!J304)</f>
        <v>5.07</v>
      </c>
      <c r="P305" s="4" t="n">
        <f aca="false">IF(Sheet1_Original_Data!L304="",MEDIAN(Sheet1_Original_Data!$L$4:$L$323),Sheet1_Original_Data!L304)</f>
        <v>4.1</v>
      </c>
    </row>
    <row r="306" customFormat="false" ht="15" hidden="false" customHeight="false" outlineLevel="0" collapsed="false">
      <c r="A306" s="6" t="str">
        <f aca="false">Sheet1_Original_Data!A305</f>
        <v>STR-1076</v>
      </c>
      <c r="B306" s="6" t="str">
        <f aca="false">Sheet1_Original_Data!B305</f>
        <v>2025-02-01</v>
      </c>
      <c r="C306" s="6" t="str">
        <f aca="false">Sheet1_Original_Data!C305</f>
        <v>North</v>
      </c>
      <c r="D306" s="6" t="str">
        <f aca="false">Sheet1_Original_Data!D305</f>
        <v>Mall</v>
      </c>
      <c r="E306" s="6" t="n">
        <f aca="false">Sheet1_Original_Data!E305</f>
        <v>63986.98</v>
      </c>
      <c r="F306" s="6" t="n">
        <f aca="false">Sheet1_Original_Data!F305</f>
        <v>7989</v>
      </c>
      <c r="G306" s="6" t="n">
        <f aca="false">Sheet1_Original_Data!G305</f>
        <v>0.074</v>
      </c>
      <c r="H306" s="6" t="n">
        <f aca="false">Sheet1_Original_Data!H305</f>
        <v>20</v>
      </c>
      <c r="I306" s="6" t="n">
        <f aca="false">Sheet1_Original_Data!I305</f>
        <v>83.3</v>
      </c>
      <c r="J306" s="6" t="n">
        <f aca="false">Sheet1_Original_Data!J305</f>
        <v>3.6</v>
      </c>
      <c r="K306" s="6" t="n">
        <f aca="false">Sheet1_Original_Data!K305</f>
        <v>0</v>
      </c>
      <c r="L306" s="6" t="n">
        <f aca="false">Sheet1_Original_Data!L305</f>
        <v>3.7</v>
      </c>
      <c r="M306" s="6" t="n">
        <f aca="false">Sheet1_Original_Data!M305</f>
        <v>724346.73</v>
      </c>
      <c r="N306" s="6" t="n">
        <f aca="false">Sheet1_Original_Data!N305</f>
        <v>155013.91</v>
      </c>
      <c r="O306" s="4" t="n">
        <f aca="false">IF(Sheet1_Original_Data!J305="",MEDIAN(Sheet1_Original_Data!$J$4:$J$323),Sheet1_Original_Data!J305)</f>
        <v>3.6</v>
      </c>
      <c r="P306" s="4" t="n">
        <f aca="false">IF(Sheet1_Original_Data!L305="",MEDIAN(Sheet1_Original_Data!$L$4:$L$323),Sheet1_Original_Data!L305)</f>
        <v>3.7</v>
      </c>
    </row>
    <row r="307" customFormat="false" ht="15" hidden="false" customHeight="false" outlineLevel="0" collapsed="false">
      <c r="A307" s="6" t="str">
        <f aca="false">Sheet1_Original_Data!A306</f>
        <v>STR-1076</v>
      </c>
      <c r="B307" s="6" t="str">
        <f aca="false">Sheet1_Original_Data!B306</f>
        <v>2025-03-01</v>
      </c>
      <c r="C307" s="6" t="str">
        <f aca="false">Sheet1_Original_Data!C306</f>
        <v>North</v>
      </c>
      <c r="D307" s="6" t="str">
        <f aca="false">Sheet1_Original_Data!D306</f>
        <v>Mall</v>
      </c>
      <c r="E307" s="6" t="n">
        <f aca="false">Sheet1_Original_Data!E306</f>
        <v>52843.75</v>
      </c>
      <c r="F307" s="6" t="n">
        <f aca="false">Sheet1_Original_Data!F306</f>
        <v>8268</v>
      </c>
      <c r="G307" s="6" t="n">
        <f aca="false">Sheet1_Original_Data!G306</f>
        <v>0.138</v>
      </c>
      <c r="H307" s="6" t="n">
        <f aca="false">Sheet1_Original_Data!H306</f>
        <v>19</v>
      </c>
      <c r="I307" s="6" t="n">
        <f aca="false">Sheet1_Original_Data!I306</f>
        <v>87.3</v>
      </c>
      <c r="J307" s="6" t="n">
        <f aca="false">Sheet1_Original_Data!J306</f>
        <v>4.39</v>
      </c>
      <c r="K307" s="6" t="n">
        <f aca="false">Sheet1_Original_Data!K306</f>
        <v>1</v>
      </c>
      <c r="L307" s="6" t="n">
        <f aca="false">Sheet1_Original_Data!L306</f>
        <v>4.7</v>
      </c>
      <c r="M307" s="6" t="n">
        <f aca="false">Sheet1_Original_Data!M306</f>
        <v>730890.01</v>
      </c>
      <c r="N307" s="6" t="n">
        <f aca="false">Sheet1_Original_Data!N306</f>
        <v>105502.56</v>
      </c>
      <c r="O307" s="4" t="n">
        <f aca="false">IF(Sheet1_Original_Data!J306="",MEDIAN(Sheet1_Original_Data!$J$4:$J$323),Sheet1_Original_Data!J306)</f>
        <v>4.39</v>
      </c>
      <c r="P307" s="4" t="n">
        <f aca="false">IF(Sheet1_Original_Data!L306="",MEDIAN(Sheet1_Original_Data!$L$4:$L$323),Sheet1_Original_Data!L306)</f>
        <v>4.7</v>
      </c>
    </row>
    <row r="308" customFormat="false" ht="15" hidden="false" customHeight="false" outlineLevel="0" collapsed="false">
      <c r="A308" s="6" t="str">
        <f aca="false">Sheet1_Original_Data!A307</f>
        <v>STR-1076</v>
      </c>
      <c r="B308" s="6" t="str">
        <f aca="false">Sheet1_Original_Data!B307</f>
        <v>2025-04-01</v>
      </c>
      <c r="C308" s="6" t="str">
        <f aca="false">Sheet1_Original_Data!C307</f>
        <v>North</v>
      </c>
      <c r="D308" s="6" t="str">
        <f aca="false">Sheet1_Original_Data!D307</f>
        <v>Mall</v>
      </c>
      <c r="E308" s="6" t="n">
        <f aca="false">Sheet1_Original_Data!E307</f>
        <v>31997.25</v>
      </c>
      <c r="F308" s="6" t="n">
        <f aca="false">Sheet1_Original_Data!F307</f>
        <v>8183</v>
      </c>
      <c r="G308" s="6" t="n">
        <f aca="false">Sheet1_Original_Data!G307</f>
        <v>0.198</v>
      </c>
      <c r="H308" s="6" t="n">
        <f aca="false">Sheet1_Original_Data!H307</f>
        <v>18</v>
      </c>
      <c r="I308" s="6" t="n">
        <f aca="false">Sheet1_Original_Data!I307</f>
        <v>93</v>
      </c>
      <c r="J308" s="6" t="n">
        <f aca="false">Sheet1_Original_Data!J307</f>
        <v>2.79</v>
      </c>
      <c r="K308" s="6" t="n">
        <f aca="false">Sheet1_Original_Data!K307</f>
        <v>0</v>
      </c>
      <c r="L308" s="6" t="n">
        <f aca="false">Sheet1_Original_Data!L307</f>
        <v>4.2</v>
      </c>
      <c r="M308" s="6" t="n">
        <f aca="false">Sheet1_Original_Data!M307</f>
        <v>780580.95</v>
      </c>
      <c r="N308" s="6" t="n">
        <f aca="false">Sheet1_Original_Data!N307</f>
        <v>138144.46</v>
      </c>
      <c r="O308" s="4" t="n">
        <f aca="false">IF(Sheet1_Original_Data!J307="",MEDIAN(Sheet1_Original_Data!$J$4:$J$323),Sheet1_Original_Data!J307)</f>
        <v>2.79</v>
      </c>
      <c r="P308" s="4" t="n">
        <f aca="false">IF(Sheet1_Original_Data!L307="",MEDIAN(Sheet1_Original_Data!$L$4:$L$323),Sheet1_Original_Data!L307)</f>
        <v>4.2</v>
      </c>
    </row>
    <row r="309" customFormat="false" ht="15" hidden="false" customHeight="false" outlineLevel="0" collapsed="false">
      <c r="A309" s="6" t="str">
        <f aca="false">Sheet1_Original_Data!A308</f>
        <v>STR-1077</v>
      </c>
      <c r="B309" s="6" t="str">
        <f aca="false">Sheet1_Original_Data!B308</f>
        <v>2025-01-01</v>
      </c>
      <c r="C309" s="6" t="str">
        <f aca="false">Sheet1_Original_Data!C308</f>
        <v>South</v>
      </c>
      <c r="D309" s="6" t="str">
        <f aca="false">Sheet1_Original_Data!D308</f>
        <v>Residential</v>
      </c>
      <c r="E309" s="6" t="n">
        <f aca="false">Sheet1_Original_Data!E308</f>
        <v>54948.02</v>
      </c>
      <c r="F309" s="6" t="n">
        <f aca="false">Sheet1_Original_Data!F308</f>
        <v>6534</v>
      </c>
      <c r="G309" s="6" t="n">
        <f aca="false">Sheet1_Original_Data!G308</f>
        <v>0.183</v>
      </c>
      <c r="H309" s="6" t="n">
        <f aca="false">Sheet1_Original_Data!H308</f>
        <v>14</v>
      </c>
      <c r="I309" s="6" t="n">
        <f aca="false">Sheet1_Original_Data!I308</f>
        <v>94.5</v>
      </c>
      <c r="J309" s="6" t="n">
        <f aca="false">Sheet1_Original_Data!J308</f>
        <v>1.56</v>
      </c>
      <c r="K309" s="6" t="n">
        <f aca="false">Sheet1_Original_Data!K308</f>
        <v>0</v>
      </c>
      <c r="L309" s="6" t="n">
        <f aca="false">Sheet1_Original_Data!L308</f>
        <v>4</v>
      </c>
      <c r="M309" s="6" t="n">
        <f aca="false">Sheet1_Original_Data!M308</f>
        <v>727957.48</v>
      </c>
      <c r="N309" s="6" t="n">
        <f aca="false">Sheet1_Original_Data!N308</f>
        <v>74805.23</v>
      </c>
      <c r="O309" s="4" t="n">
        <f aca="false">IF(Sheet1_Original_Data!J308="",MEDIAN(Sheet1_Original_Data!$J$4:$J$323),Sheet1_Original_Data!J308)</f>
        <v>1.56</v>
      </c>
      <c r="P309" s="4" t="n">
        <f aca="false">IF(Sheet1_Original_Data!L308="",MEDIAN(Sheet1_Original_Data!$L$4:$L$323),Sheet1_Original_Data!L308)</f>
        <v>4</v>
      </c>
    </row>
    <row r="310" customFormat="false" ht="15" hidden="false" customHeight="false" outlineLevel="0" collapsed="false">
      <c r="A310" s="6" t="str">
        <f aca="false">Sheet1_Original_Data!A309</f>
        <v>STR-1077</v>
      </c>
      <c r="B310" s="6" t="str">
        <f aca="false">Sheet1_Original_Data!B309</f>
        <v>2025-02-01</v>
      </c>
      <c r="C310" s="6" t="str">
        <f aca="false">Sheet1_Original_Data!C309</f>
        <v>South</v>
      </c>
      <c r="D310" s="6" t="str">
        <f aca="false">Sheet1_Original_Data!D309</f>
        <v>Residential</v>
      </c>
      <c r="E310" s="6" t="n">
        <f aca="false">Sheet1_Original_Data!E309</f>
        <v>46146.24</v>
      </c>
      <c r="F310" s="6" t="n">
        <f aca="false">Sheet1_Original_Data!F309</f>
        <v>5804</v>
      </c>
      <c r="G310" s="6" t="n">
        <f aca="false">Sheet1_Original_Data!G309</f>
        <v>0.047</v>
      </c>
      <c r="H310" s="6" t="n">
        <f aca="false">Sheet1_Original_Data!H309</f>
        <v>16</v>
      </c>
      <c r="I310" s="6" t="n">
        <f aca="false">Sheet1_Original_Data!I309</f>
        <v>86.9</v>
      </c>
      <c r="J310" s="6" t="n">
        <f aca="false">Sheet1_Original_Data!J309</f>
        <v>15.82</v>
      </c>
      <c r="K310" s="6" t="n">
        <f aca="false">Sheet1_Original_Data!K309</f>
        <v>0</v>
      </c>
      <c r="L310" s="6" t="n">
        <f aca="false">Sheet1_Original_Data!L309</f>
        <v>3.8</v>
      </c>
      <c r="M310" s="6" t="n">
        <f aca="false">Sheet1_Original_Data!M309</f>
        <v>538376</v>
      </c>
      <c r="N310" s="6" t="n">
        <f aca="false">Sheet1_Original_Data!N309</f>
        <v>87605.62</v>
      </c>
      <c r="O310" s="4" t="n">
        <f aca="false">IF(Sheet1_Original_Data!J309="",MEDIAN(Sheet1_Original_Data!$J$4:$J$323),Sheet1_Original_Data!J309)</f>
        <v>15.82</v>
      </c>
      <c r="P310" s="4" t="n">
        <f aca="false">IF(Sheet1_Original_Data!L309="",MEDIAN(Sheet1_Original_Data!$L$4:$L$323),Sheet1_Original_Data!L309)</f>
        <v>3.8</v>
      </c>
    </row>
    <row r="311" customFormat="false" ht="15" hidden="false" customHeight="false" outlineLevel="0" collapsed="false">
      <c r="A311" s="6" t="str">
        <f aca="false">Sheet1_Original_Data!A310</f>
        <v>STR-1077</v>
      </c>
      <c r="B311" s="6" t="str">
        <f aca="false">Sheet1_Original_Data!B310</f>
        <v>2025-03-01</v>
      </c>
      <c r="C311" s="6" t="str">
        <f aca="false">Sheet1_Original_Data!C310</f>
        <v>South</v>
      </c>
      <c r="D311" s="6" t="str">
        <f aca="false">Sheet1_Original_Data!D310</f>
        <v>Residential</v>
      </c>
      <c r="E311" s="6" t="n">
        <f aca="false">Sheet1_Original_Data!E310</f>
        <v>22387.26</v>
      </c>
      <c r="F311" s="6" t="n">
        <f aca="false">Sheet1_Original_Data!F310</f>
        <v>6301</v>
      </c>
      <c r="G311" s="6" t="n">
        <f aca="false">Sheet1_Original_Data!G310</f>
        <v>0.146</v>
      </c>
      <c r="H311" s="6" t="n">
        <f aca="false">Sheet1_Original_Data!H310</f>
        <v>14</v>
      </c>
      <c r="I311" s="6" t="n">
        <f aca="false">Sheet1_Original_Data!I310</f>
        <v>85.9</v>
      </c>
      <c r="J311" s="6" t="n">
        <f aca="false">Sheet1_Original_Data!J310</f>
        <v>1.17</v>
      </c>
      <c r="K311" s="6" t="n">
        <f aca="false">Sheet1_Original_Data!K310</f>
        <v>1</v>
      </c>
      <c r="L311" s="6" t="n">
        <f aca="false">Sheet1_Original_Data!L310</f>
        <v>3.7</v>
      </c>
      <c r="M311" s="6" t="n">
        <f aca="false">Sheet1_Original_Data!M310</f>
        <v>665342.49</v>
      </c>
      <c r="N311" s="6" t="n">
        <f aca="false">Sheet1_Original_Data!N310</f>
        <v>93441.81</v>
      </c>
      <c r="O311" s="4" t="n">
        <f aca="false">IF(Sheet1_Original_Data!J310="",MEDIAN(Sheet1_Original_Data!$J$4:$J$323),Sheet1_Original_Data!J310)</f>
        <v>1.17</v>
      </c>
      <c r="P311" s="4" t="n">
        <f aca="false">IF(Sheet1_Original_Data!L310="",MEDIAN(Sheet1_Original_Data!$L$4:$L$323),Sheet1_Original_Data!L310)</f>
        <v>3.7</v>
      </c>
    </row>
    <row r="312" customFormat="false" ht="15" hidden="false" customHeight="false" outlineLevel="0" collapsed="false">
      <c r="A312" s="6" t="str">
        <f aca="false">Sheet1_Original_Data!A311</f>
        <v>STR-1077</v>
      </c>
      <c r="B312" s="6" t="str">
        <f aca="false">Sheet1_Original_Data!B311</f>
        <v>2025-04-01</v>
      </c>
      <c r="C312" s="6" t="str">
        <f aca="false">Sheet1_Original_Data!C311</f>
        <v>South</v>
      </c>
      <c r="D312" s="6" t="str">
        <f aca="false">Sheet1_Original_Data!D311</f>
        <v>Residential</v>
      </c>
      <c r="E312" s="6" t="n">
        <f aca="false">Sheet1_Original_Data!E311</f>
        <v>60684.05</v>
      </c>
      <c r="F312" s="6" t="n">
        <f aca="false">Sheet1_Original_Data!F311</f>
        <v>6399</v>
      </c>
      <c r="G312" s="6" t="n">
        <f aca="false">Sheet1_Original_Data!G311</f>
        <v>0.075</v>
      </c>
      <c r="H312" s="6" t="n">
        <f aca="false">Sheet1_Original_Data!H311</f>
        <v>16</v>
      </c>
      <c r="I312" s="6" t="n">
        <f aca="false">Sheet1_Original_Data!I311</f>
        <v>99</v>
      </c>
      <c r="J312" s="6" t="n">
        <f aca="false">Sheet1_Original_Data!J311</f>
        <v>3.82</v>
      </c>
      <c r="K312" s="6" t="n">
        <f aca="false">Sheet1_Original_Data!K311</f>
        <v>0</v>
      </c>
      <c r="L312" s="6" t="n">
        <f aca="false">Sheet1_Original_Data!L311</f>
        <v>3.5</v>
      </c>
      <c r="M312" s="6" t="n">
        <f aca="false">Sheet1_Original_Data!M311</f>
        <v>651164.18</v>
      </c>
      <c r="N312" s="6" t="n">
        <f aca="false">Sheet1_Original_Data!N311</f>
        <v>109466.5</v>
      </c>
      <c r="O312" s="4" t="n">
        <f aca="false">IF(Sheet1_Original_Data!J311="",MEDIAN(Sheet1_Original_Data!$J$4:$J$323),Sheet1_Original_Data!J311)</f>
        <v>3.82</v>
      </c>
      <c r="P312" s="4" t="n">
        <f aca="false">IF(Sheet1_Original_Data!L311="",MEDIAN(Sheet1_Original_Data!$L$4:$L$323),Sheet1_Original_Data!L311)</f>
        <v>3.5</v>
      </c>
    </row>
    <row r="313" customFormat="false" ht="15" hidden="false" customHeight="false" outlineLevel="0" collapsed="false">
      <c r="A313" s="6" t="str">
        <f aca="false">Sheet1_Original_Data!A312</f>
        <v>STR-1078</v>
      </c>
      <c r="B313" s="6" t="str">
        <f aca="false">Sheet1_Original_Data!B312</f>
        <v>2025-01-01</v>
      </c>
      <c r="C313" s="6" t="str">
        <f aca="false">Sheet1_Original_Data!C312</f>
        <v>South</v>
      </c>
      <c r="D313" s="6" t="str">
        <f aca="false">Sheet1_Original_Data!D312</f>
        <v>High Street</v>
      </c>
      <c r="E313" s="6" t="n">
        <f aca="false">Sheet1_Original_Data!E312</f>
        <v>48465.6</v>
      </c>
      <c r="F313" s="6" t="n">
        <f aca="false">Sheet1_Original_Data!F312</f>
        <v>5759</v>
      </c>
      <c r="G313" s="6" t="n">
        <f aca="false">Sheet1_Original_Data!G312</f>
        <v>0.154</v>
      </c>
      <c r="H313" s="6" t="n">
        <f aca="false">Sheet1_Original_Data!H312</f>
        <v>13</v>
      </c>
      <c r="I313" s="6" t="n">
        <f aca="false">Sheet1_Original_Data!I312</f>
        <v>87.5</v>
      </c>
      <c r="J313" s="6" t="n">
        <f aca="false">Sheet1_Original_Data!J312</f>
        <v>4.14</v>
      </c>
      <c r="K313" s="6" t="n">
        <f aca="false">Sheet1_Original_Data!K312</f>
        <v>0</v>
      </c>
      <c r="L313" s="6" t="n">
        <f aca="false">Sheet1_Original_Data!L312</f>
        <v>4</v>
      </c>
      <c r="M313" s="6" t="n">
        <f aca="false">Sheet1_Original_Data!M312</f>
        <v>628538.3</v>
      </c>
      <c r="N313" s="6" t="n">
        <f aca="false">Sheet1_Original_Data!N312</f>
        <v>112509.15</v>
      </c>
      <c r="O313" s="4" t="n">
        <f aca="false">IF(Sheet1_Original_Data!J312="",MEDIAN(Sheet1_Original_Data!$J$4:$J$323),Sheet1_Original_Data!J312)</f>
        <v>4.14</v>
      </c>
      <c r="P313" s="4" t="n">
        <f aca="false">IF(Sheet1_Original_Data!L312="",MEDIAN(Sheet1_Original_Data!$L$4:$L$323),Sheet1_Original_Data!L312)</f>
        <v>4</v>
      </c>
    </row>
    <row r="314" customFormat="false" ht="15" hidden="false" customHeight="false" outlineLevel="0" collapsed="false">
      <c r="A314" s="6" t="str">
        <f aca="false">Sheet1_Original_Data!A313</f>
        <v>STR-1078</v>
      </c>
      <c r="B314" s="6" t="str">
        <f aca="false">Sheet1_Original_Data!B313</f>
        <v>2025-02-01</v>
      </c>
      <c r="C314" s="6" t="str">
        <f aca="false">Sheet1_Original_Data!C313</f>
        <v>South</v>
      </c>
      <c r="D314" s="6" t="str">
        <f aca="false">Sheet1_Original_Data!D313</f>
        <v>High Street</v>
      </c>
      <c r="E314" s="6" t="n">
        <f aca="false">Sheet1_Original_Data!E313</f>
        <v>23702.38</v>
      </c>
      <c r="F314" s="6" t="n">
        <f aca="false">Sheet1_Original_Data!F313</f>
        <v>5285</v>
      </c>
      <c r="G314" s="6" t="n">
        <f aca="false">Sheet1_Original_Data!G313</f>
        <v>0.167</v>
      </c>
      <c r="H314" s="6" t="n">
        <f aca="false">Sheet1_Original_Data!H313</f>
        <v>14</v>
      </c>
      <c r="I314" s="6" t="n">
        <f aca="false">Sheet1_Original_Data!I313</f>
        <v>79.7</v>
      </c>
      <c r="J314" s="6" t="n">
        <f aca="false">Sheet1_Original_Data!J313</f>
        <v>1.1</v>
      </c>
      <c r="K314" s="6" t="n">
        <f aca="false">Sheet1_Original_Data!K313</f>
        <v>0</v>
      </c>
      <c r="L314" s="6" t="n">
        <f aca="false">Sheet1_Original_Data!L313</f>
        <v>4.3</v>
      </c>
      <c r="M314" s="6" t="n">
        <f aca="false">Sheet1_Original_Data!M313</f>
        <v>536524.84</v>
      </c>
      <c r="N314" s="6" t="n">
        <f aca="false">Sheet1_Original_Data!N313</f>
        <v>92752.94</v>
      </c>
      <c r="O314" s="4" t="n">
        <f aca="false">IF(Sheet1_Original_Data!J313="",MEDIAN(Sheet1_Original_Data!$J$4:$J$323),Sheet1_Original_Data!J313)</f>
        <v>1.1</v>
      </c>
      <c r="P314" s="4" t="n">
        <f aca="false">IF(Sheet1_Original_Data!L313="",MEDIAN(Sheet1_Original_Data!$L$4:$L$323),Sheet1_Original_Data!L313)</f>
        <v>4.3</v>
      </c>
    </row>
    <row r="315" customFormat="false" ht="15" hidden="false" customHeight="false" outlineLevel="0" collapsed="false">
      <c r="A315" s="6" t="str">
        <f aca="false">Sheet1_Original_Data!A314</f>
        <v>STR-1078</v>
      </c>
      <c r="B315" s="6" t="str">
        <f aca="false">Sheet1_Original_Data!B314</f>
        <v>2025-03-01</v>
      </c>
      <c r="C315" s="6" t="str">
        <f aca="false">Sheet1_Original_Data!C314</f>
        <v>South</v>
      </c>
      <c r="D315" s="6" t="str">
        <f aca="false">Sheet1_Original_Data!D314</f>
        <v>High Street</v>
      </c>
      <c r="E315" s="6" t="n">
        <f aca="false">Sheet1_Original_Data!E314</f>
        <v>54322.94</v>
      </c>
      <c r="F315" s="6" t="n">
        <f aca="false">Sheet1_Original_Data!F314</f>
        <v>5434</v>
      </c>
      <c r="G315" s="6" t="n">
        <f aca="false">Sheet1_Original_Data!G314</f>
        <v>0.2</v>
      </c>
      <c r="H315" s="6" t="n">
        <f aca="false">Sheet1_Original_Data!H314</f>
        <v>13</v>
      </c>
      <c r="I315" s="6" t="n">
        <f aca="false">Sheet1_Original_Data!I314</f>
        <v>85.7</v>
      </c>
      <c r="J315" s="6" t="n">
        <f aca="false">Sheet1_Original_Data!J314</f>
        <v>10.6</v>
      </c>
      <c r="K315" s="6" t="n">
        <f aca="false">Sheet1_Original_Data!K314</f>
        <v>0</v>
      </c>
      <c r="L315" s="6" t="n">
        <f aca="false">Sheet1_Original_Data!L314</f>
        <v>4.2</v>
      </c>
      <c r="M315" s="6" t="n">
        <f aca="false">Sheet1_Original_Data!M314</f>
        <v>621677.3</v>
      </c>
      <c r="N315" s="6" t="n">
        <f aca="false">Sheet1_Original_Data!N314</f>
        <v>105192.52</v>
      </c>
      <c r="O315" s="4" t="n">
        <f aca="false">IF(Sheet1_Original_Data!J314="",MEDIAN(Sheet1_Original_Data!$J$4:$J$323),Sheet1_Original_Data!J314)</f>
        <v>10.6</v>
      </c>
      <c r="P315" s="4" t="n">
        <f aca="false">IF(Sheet1_Original_Data!L314="",MEDIAN(Sheet1_Original_Data!$L$4:$L$323),Sheet1_Original_Data!L314)</f>
        <v>4.2</v>
      </c>
    </row>
    <row r="316" customFormat="false" ht="15" hidden="false" customHeight="false" outlineLevel="0" collapsed="false">
      <c r="A316" s="6" t="str">
        <f aca="false">Sheet1_Original_Data!A315</f>
        <v>STR-1078</v>
      </c>
      <c r="B316" s="6" t="str">
        <f aca="false">Sheet1_Original_Data!B315</f>
        <v>2025-04-01</v>
      </c>
      <c r="C316" s="6" t="str">
        <f aca="false">Sheet1_Original_Data!C315</f>
        <v>South</v>
      </c>
      <c r="D316" s="6" t="str">
        <f aca="false">Sheet1_Original_Data!D315</f>
        <v>High Street</v>
      </c>
      <c r="E316" s="6" t="n">
        <f aca="false">Sheet1_Original_Data!E315</f>
        <v>86026.58</v>
      </c>
      <c r="F316" s="6" t="n">
        <f aca="false">Sheet1_Original_Data!F315</f>
        <v>7479</v>
      </c>
      <c r="G316" s="6" t="n">
        <f aca="false">Sheet1_Original_Data!G315</f>
        <v>0.142</v>
      </c>
      <c r="H316" s="6" t="n">
        <f aca="false">Sheet1_Original_Data!H315</f>
        <v>20</v>
      </c>
      <c r="I316" s="6" t="n">
        <f aca="false">Sheet1_Original_Data!I315</f>
        <v>89</v>
      </c>
      <c r="J316" s="6" t="n">
        <f aca="false">Sheet1_Original_Data!J315</f>
        <v>0.9</v>
      </c>
      <c r="K316" s="6" t="n">
        <f aca="false">Sheet1_Original_Data!K315</f>
        <v>0</v>
      </c>
      <c r="L316" s="6" t="n">
        <f aca="false">Sheet1_Original_Data!L315</f>
        <v>0</v>
      </c>
      <c r="M316" s="6" t="n">
        <f aca="false">Sheet1_Original_Data!M315</f>
        <v>771129.07</v>
      </c>
      <c r="N316" s="6" t="n">
        <f aca="false">Sheet1_Original_Data!N315</f>
        <v>116851.13</v>
      </c>
      <c r="O316" s="4" t="n">
        <f aca="false">IF(Sheet1_Original_Data!J315="",MEDIAN(Sheet1_Original_Data!$J$4:$J$323),Sheet1_Original_Data!J315)</f>
        <v>0.9</v>
      </c>
      <c r="P316" s="4" t="n">
        <f aca="false">IF(Sheet1_Original_Data!L315="",MEDIAN(Sheet1_Original_Data!$L$4:$L$323),Sheet1_Original_Data!L315)</f>
        <v>3.9</v>
      </c>
    </row>
    <row r="317" customFormat="false" ht="15" hidden="false" customHeight="false" outlineLevel="0" collapsed="false">
      <c r="A317" s="6" t="str">
        <f aca="false">Sheet1_Original_Data!A316</f>
        <v>STR-1079</v>
      </c>
      <c r="B317" s="6" t="str">
        <f aca="false">Sheet1_Original_Data!B316</f>
        <v>2025-01-01</v>
      </c>
      <c r="C317" s="6" t="str">
        <f aca="false">Sheet1_Original_Data!C316</f>
        <v>North</v>
      </c>
      <c r="D317" s="6" t="str">
        <f aca="false">Sheet1_Original_Data!D316</f>
        <v>Residential</v>
      </c>
      <c r="E317" s="6" t="n">
        <f aca="false">Sheet1_Original_Data!E316</f>
        <v>78967.52</v>
      </c>
      <c r="F317" s="6" t="n">
        <f aca="false">Sheet1_Original_Data!F316</f>
        <v>6164</v>
      </c>
      <c r="G317" s="6" t="n">
        <f aca="false">Sheet1_Original_Data!G316</f>
        <v>0.021</v>
      </c>
      <c r="H317" s="6" t="n">
        <f aca="false">Sheet1_Original_Data!H316</f>
        <v>16</v>
      </c>
      <c r="I317" s="6" t="n">
        <f aca="false">Sheet1_Original_Data!I316</f>
        <v>85.5</v>
      </c>
      <c r="J317" s="6" t="n">
        <f aca="false">Sheet1_Original_Data!J316</f>
        <v>0.2</v>
      </c>
      <c r="K317" s="6" t="n">
        <f aca="false">Sheet1_Original_Data!K316</f>
        <v>0</v>
      </c>
      <c r="L317" s="6" t="n">
        <f aca="false">Sheet1_Original_Data!L316</f>
        <v>3.4</v>
      </c>
      <c r="M317" s="6" t="n">
        <f aca="false">Sheet1_Original_Data!M316</f>
        <v>702052.47</v>
      </c>
      <c r="N317" s="6" t="n">
        <f aca="false">Sheet1_Original_Data!N316</f>
        <v>121732.51</v>
      </c>
      <c r="O317" s="4" t="n">
        <f aca="false">IF(Sheet1_Original_Data!J316="",MEDIAN(Sheet1_Original_Data!$J$4:$J$323),Sheet1_Original_Data!J316)</f>
        <v>0.2</v>
      </c>
      <c r="P317" s="4" t="n">
        <f aca="false">IF(Sheet1_Original_Data!L316="",MEDIAN(Sheet1_Original_Data!$L$4:$L$323),Sheet1_Original_Data!L316)</f>
        <v>3.4</v>
      </c>
    </row>
    <row r="318" customFormat="false" ht="15" hidden="false" customHeight="false" outlineLevel="0" collapsed="false">
      <c r="A318" s="6" t="str">
        <f aca="false">Sheet1_Original_Data!A317</f>
        <v>STR-1079</v>
      </c>
      <c r="B318" s="6" t="str">
        <f aca="false">Sheet1_Original_Data!B317</f>
        <v>2025-02-01</v>
      </c>
      <c r="C318" s="6" t="str">
        <f aca="false">Sheet1_Original_Data!C317</f>
        <v>North</v>
      </c>
      <c r="D318" s="6" t="str">
        <f aca="false">Sheet1_Original_Data!D317</f>
        <v>Residential</v>
      </c>
      <c r="E318" s="6" t="n">
        <f aca="false">Sheet1_Original_Data!E317</f>
        <v>46767.99</v>
      </c>
      <c r="F318" s="6" t="n">
        <f aca="false">Sheet1_Original_Data!F317</f>
        <v>7973</v>
      </c>
      <c r="G318" s="6" t="n">
        <f aca="false">Sheet1_Original_Data!G317</f>
        <v>0.183</v>
      </c>
      <c r="H318" s="6" t="n">
        <f aca="false">Sheet1_Original_Data!H317</f>
        <v>18</v>
      </c>
      <c r="I318" s="6" t="n">
        <f aca="false">Sheet1_Original_Data!I317</f>
        <v>94.8</v>
      </c>
      <c r="J318" s="6" t="n">
        <f aca="false">Sheet1_Original_Data!J317</f>
        <v>4.67</v>
      </c>
      <c r="K318" s="6" t="n">
        <f aca="false">Sheet1_Original_Data!K317</f>
        <v>0</v>
      </c>
      <c r="L318" s="6" t="n">
        <f aca="false">Sheet1_Original_Data!L317</f>
        <v>0</v>
      </c>
      <c r="M318" s="6" t="n">
        <f aca="false">Sheet1_Original_Data!M317</f>
        <v>688368.46</v>
      </c>
      <c r="N318" s="6" t="n">
        <f aca="false">Sheet1_Original_Data!N317</f>
        <v>93588.42</v>
      </c>
      <c r="O318" s="4" t="n">
        <f aca="false">IF(Sheet1_Original_Data!J317="",MEDIAN(Sheet1_Original_Data!$J$4:$J$323),Sheet1_Original_Data!J317)</f>
        <v>4.67</v>
      </c>
      <c r="P318" s="4" t="n">
        <f aca="false">IF(Sheet1_Original_Data!L317="",MEDIAN(Sheet1_Original_Data!$L$4:$L$323),Sheet1_Original_Data!L317)</f>
        <v>3.9</v>
      </c>
    </row>
    <row r="319" customFormat="false" ht="15" hidden="false" customHeight="false" outlineLevel="0" collapsed="false">
      <c r="A319" s="6" t="str">
        <f aca="false">Sheet1_Original_Data!A318</f>
        <v>STR-1079</v>
      </c>
      <c r="B319" s="6" t="str">
        <f aca="false">Sheet1_Original_Data!B318</f>
        <v>2025-03-01</v>
      </c>
      <c r="C319" s="6" t="str">
        <f aca="false">Sheet1_Original_Data!C318</f>
        <v>North</v>
      </c>
      <c r="D319" s="6" t="str">
        <f aca="false">Sheet1_Original_Data!D318</f>
        <v>Residential</v>
      </c>
      <c r="E319" s="6" t="n">
        <f aca="false">Sheet1_Original_Data!E318</f>
        <v>62507.16</v>
      </c>
      <c r="F319" s="6" t="n">
        <f aca="false">Sheet1_Original_Data!F318</f>
        <v>6000</v>
      </c>
      <c r="G319" s="6" t="n">
        <f aca="false">Sheet1_Original_Data!G318</f>
        <v>0.091</v>
      </c>
      <c r="H319" s="6" t="n">
        <f aca="false">Sheet1_Original_Data!H318</f>
        <v>14</v>
      </c>
      <c r="I319" s="6" t="n">
        <f aca="false">Sheet1_Original_Data!I318</f>
        <v>98.2</v>
      </c>
      <c r="J319" s="6" t="n">
        <f aca="false">Sheet1_Original_Data!J318</f>
        <v>4.38</v>
      </c>
      <c r="K319" s="6" t="n">
        <f aca="false">Sheet1_Original_Data!K318</f>
        <v>1</v>
      </c>
      <c r="L319" s="6" t="n">
        <f aca="false">Sheet1_Original_Data!L318</f>
        <v>3.9</v>
      </c>
      <c r="M319" s="6" t="n">
        <f aca="false">Sheet1_Original_Data!M318</f>
        <v>712375.77</v>
      </c>
      <c r="N319" s="6" t="n">
        <f aca="false">Sheet1_Original_Data!N318</f>
        <v>104171.53</v>
      </c>
      <c r="O319" s="4" t="n">
        <f aca="false">IF(Sheet1_Original_Data!J318="",MEDIAN(Sheet1_Original_Data!$J$4:$J$323),Sheet1_Original_Data!J318)</f>
        <v>4.38</v>
      </c>
      <c r="P319" s="4" t="n">
        <f aca="false">IF(Sheet1_Original_Data!L318="",MEDIAN(Sheet1_Original_Data!$L$4:$L$323),Sheet1_Original_Data!L318)</f>
        <v>3.9</v>
      </c>
    </row>
    <row r="320" customFormat="false" ht="15" hidden="false" customHeight="false" outlineLevel="0" collapsed="false">
      <c r="A320" s="6" t="str">
        <f aca="false">Sheet1_Original_Data!A319</f>
        <v>STR-1079</v>
      </c>
      <c r="B320" s="6" t="str">
        <f aca="false">Sheet1_Original_Data!B319</f>
        <v>2025-04-01</v>
      </c>
      <c r="C320" s="6" t="str">
        <f aca="false">Sheet1_Original_Data!C319</f>
        <v>North</v>
      </c>
      <c r="D320" s="6" t="str">
        <f aca="false">Sheet1_Original_Data!D319</f>
        <v>Residential</v>
      </c>
      <c r="E320" s="6" t="n">
        <f aca="false">Sheet1_Original_Data!E319</f>
        <v>66456.28</v>
      </c>
      <c r="F320" s="6" t="n">
        <f aca="false">Sheet1_Original_Data!F319</f>
        <v>9967</v>
      </c>
      <c r="G320" s="6" t="n">
        <f aca="false">Sheet1_Original_Data!G319</f>
        <v>0.108</v>
      </c>
      <c r="H320" s="6" t="n">
        <f aca="false">Sheet1_Original_Data!H319</f>
        <v>20</v>
      </c>
      <c r="I320" s="6" t="n">
        <f aca="false">Sheet1_Original_Data!I319</f>
        <v>94.7</v>
      </c>
      <c r="J320" s="6" t="n">
        <f aca="false">Sheet1_Original_Data!J319</f>
        <v>4.48</v>
      </c>
      <c r="K320" s="6" t="n">
        <f aca="false">Sheet1_Original_Data!K319</f>
        <v>0</v>
      </c>
      <c r="L320" s="6" t="n">
        <f aca="false">Sheet1_Original_Data!L319</f>
        <v>4.2</v>
      </c>
      <c r="M320" s="6" t="n">
        <f aca="false">Sheet1_Original_Data!M319</f>
        <v>844710.67</v>
      </c>
      <c r="N320" s="6" t="n">
        <f aca="false">Sheet1_Original_Data!N319</f>
        <v>137140.18</v>
      </c>
      <c r="O320" s="4" t="n">
        <f aca="false">IF(Sheet1_Original_Data!J319="",MEDIAN(Sheet1_Original_Data!$J$4:$J$323),Sheet1_Original_Data!J319)</f>
        <v>4.48</v>
      </c>
      <c r="P320" s="4" t="n">
        <f aca="false">IF(Sheet1_Original_Data!L319="",MEDIAN(Sheet1_Original_Data!$L$4:$L$323),Sheet1_Original_Data!L319)</f>
        <v>4.2</v>
      </c>
    </row>
    <row r="321" customFormat="false" ht="15" hidden="false" customHeight="false" outlineLevel="0" collapsed="false">
      <c r="A321" s="6" t="str">
        <f aca="false">Sheet1_Original_Data!A320</f>
        <v>STR-1080</v>
      </c>
      <c r="B321" s="6" t="str">
        <f aca="false">Sheet1_Original_Data!B320</f>
        <v>2025-01-01</v>
      </c>
      <c r="C321" s="6" t="str">
        <f aca="false">Sheet1_Original_Data!C320</f>
        <v>East</v>
      </c>
      <c r="D321" s="6" t="str">
        <f aca="false">Sheet1_Original_Data!D320</f>
        <v>Residential</v>
      </c>
      <c r="E321" s="6" t="n">
        <f aca="false">Sheet1_Original_Data!E320</f>
        <v>76614.32</v>
      </c>
      <c r="F321" s="6" t="n">
        <f aca="false">Sheet1_Original_Data!F320</f>
        <v>5639</v>
      </c>
      <c r="G321" s="6" t="n">
        <f aca="false">Sheet1_Original_Data!G320</f>
        <v>0.174</v>
      </c>
      <c r="H321" s="6" t="n">
        <f aca="false">Sheet1_Original_Data!H320</f>
        <v>15</v>
      </c>
      <c r="I321" s="6" t="n">
        <f aca="false">Sheet1_Original_Data!I320</f>
        <v>92.9</v>
      </c>
      <c r="J321" s="6" t="n">
        <f aca="false">Sheet1_Original_Data!J320</f>
        <v>1.02</v>
      </c>
      <c r="K321" s="6" t="n">
        <f aca="false">Sheet1_Original_Data!K320</f>
        <v>1</v>
      </c>
      <c r="L321" s="6" t="n">
        <f aca="false">Sheet1_Original_Data!L320</f>
        <v>4</v>
      </c>
      <c r="M321" s="6" t="n">
        <f aca="false">Sheet1_Original_Data!M320</f>
        <v>620264.2</v>
      </c>
      <c r="N321" s="6" t="n">
        <f aca="false">Sheet1_Original_Data!N320</f>
        <v>91365.64</v>
      </c>
      <c r="O321" s="4" t="n">
        <f aca="false">IF(Sheet1_Original_Data!J320="",MEDIAN(Sheet1_Original_Data!$J$4:$J$323),Sheet1_Original_Data!J320)</f>
        <v>1.02</v>
      </c>
      <c r="P321" s="4" t="n">
        <f aca="false">IF(Sheet1_Original_Data!L320="",MEDIAN(Sheet1_Original_Data!$L$4:$L$323),Sheet1_Original_Data!L320)</f>
        <v>4</v>
      </c>
    </row>
    <row r="322" customFormat="false" ht="15" hidden="false" customHeight="false" outlineLevel="0" collapsed="false">
      <c r="A322" s="6" t="str">
        <f aca="false">Sheet1_Original_Data!A321</f>
        <v>STR-1080</v>
      </c>
      <c r="B322" s="6" t="str">
        <f aca="false">Sheet1_Original_Data!B321</f>
        <v>2025-02-01</v>
      </c>
      <c r="C322" s="6" t="str">
        <f aca="false">Sheet1_Original_Data!C321</f>
        <v>East</v>
      </c>
      <c r="D322" s="6" t="str">
        <f aca="false">Sheet1_Original_Data!D321</f>
        <v>Residential</v>
      </c>
      <c r="E322" s="6" t="n">
        <f aca="false">Sheet1_Original_Data!E321</f>
        <v>24088.06</v>
      </c>
      <c r="F322" s="6" t="n">
        <f aca="false">Sheet1_Original_Data!F321</f>
        <v>3466</v>
      </c>
      <c r="G322" s="6" t="n">
        <f aca="false">Sheet1_Original_Data!G321</f>
        <v>0</v>
      </c>
      <c r="H322" s="6" t="n">
        <f aca="false">Sheet1_Original_Data!H321</f>
        <v>11</v>
      </c>
      <c r="I322" s="6" t="n">
        <f aca="false">Sheet1_Original_Data!I321</f>
        <v>88</v>
      </c>
      <c r="J322" s="6" t="n">
        <f aca="false">Sheet1_Original_Data!J321</f>
        <v>0.2</v>
      </c>
      <c r="K322" s="6" t="n">
        <f aca="false">Sheet1_Original_Data!K321</f>
        <v>0</v>
      </c>
      <c r="L322" s="6" t="n">
        <f aca="false">Sheet1_Original_Data!L321</f>
        <v>3.8</v>
      </c>
      <c r="M322" s="6" t="n">
        <f aca="false">Sheet1_Original_Data!M321</f>
        <v>536845.42</v>
      </c>
      <c r="N322" s="6" t="n">
        <f aca="false">Sheet1_Original_Data!N321</f>
        <v>107473.75</v>
      </c>
      <c r="O322" s="4" t="n">
        <f aca="false">IF(Sheet1_Original_Data!J321="",MEDIAN(Sheet1_Original_Data!$J$4:$J$323),Sheet1_Original_Data!J321)</f>
        <v>0.2</v>
      </c>
      <c r="P322" s="4" t="n">
        <f aca="false">IF(Sheet1_Original_Data!L321="",MEDIAN(Sheet1_Original_Data!$L$4:$L$323),Sheet1_Original_Data!L321)</f>
        <v>3.8</v>
      </c>
    </row>
    <row r="323" customFormat="false" ht="15" hidden="false" customHeight="false" outlineLevel="0" collapsed="false">
      <c r="A323" s="6" t="str">
        <f aca="false">Sheet1_Original_Data!A322</f>
        <v>STR-1080</v>
      </c>
      <c r="B323" s="6" t="str">
        <f aca="false">Sheet1_Original_Data!B322</f>
        <v>2025-03-01</v>
      </c>
      <c r="C323" s="6" t="str">
        <f aca="false">Sheet1_Original_Data!C322</f>
        <v>East</v>
      </c>
      <c r="D323" s="6" t="str">
        <f aca="false">Sheet1_Original_Data!D322</f>
        <v>Residential</v>
      </c>
      <c r="E323" s="6" t="n">
        <f aca="false">Sheet1_Original_Data!E322</f>
        <v>81902.58</v>
      </c>
      <c r="F323" s="6" t="n">
        <f aca="false">Sheet1_Original_Data!F322</f>
        <v>7775</v>
      </c>
      <c r="G323" s="6" t="n">
        <f aca="false">Sheet1_Original_Data!G322</f>
        <v>0.215</v>
      </c>
      <c r="H323" s="6" t="n">
        <f aca="false">Sheet1_Original_Data!H322</f>
        <v>20</v>
      </c>
      <c r="I323" s="6" t="n">
        <f aca="false">Sheet1_Original_Data!I322</f>
        <v>85.2</v>
      </c>
      <c r="J323" s="6" t="n">
        <f aca="false">Sheet1_Original_Data!J322</f>
        <v>4.89</v>
      </c>
      <c r="K323" s="6" t="n">
        <f aca="false">Sheet1_Original_Data!K322</f>
        <v>1</v>
      </c>
      <c r="L323" s="6" t="n">
        <f aca="false">Sheet1_Original_Data!L322</f>
        <v>4.2</v>
      </c>
      <c r="M323" s="6" t="n">
        <f aca="false">Sheet1_Original_Data!M322</f>
        <v>726776.22</v>
      </c>
      <c r="N323" s="6" t="n">
        <f aca="false">Sheet1_Original_Data!N322</f>
        <v>90804.49</v>
      </c>
      <c r="O323" s="4" t="n">
        <f aca="false">IF(Sheet1_Original_Data!J322="",MEDIAN(Sheet1_Original_Data!$J$4:$J$323),Sheet1_Original_Data!J322)</f>
        <v>4.89</v>
      </c>
      <c r="P323" s="4" t="n">
        <f aca="false">IF(Sheet1_Original_Data!L322="",MEDIAN(Sheet1_Original_Data!$L$4:$L$323),Sheet1_Original_Data!L322)</f>
        <v>4.2</v>
      </c>
    </row>
    <row r="324" customFormat="false" ht="15" hidden="false" customHeight="false" outlineLevel="0" collapsed="false">
      <c r="A324" s="6" t="str">
        <f aca="false">Sheet1_Original_Data!A323</f>
        <v>STR-1080</v>
      </c>
      <c r="B324" s="6" t="str">
        <f aca="false">Sheet1_Original_Data!B323</f>
        <v>2025-04-01</v>
      </c>
      <c r="C324" s="6" t="str">
        <f aca="false">Sheet1_Original_Data!C323</f>
        <v>East</v>
      </c>
      <c r="D324" s="6" t="str">
        <f aca="false">Sheet1_Original_Data!D323</f>
        <v>Residential</v>
      </c>
      <c r="E324" s="6" t="n">
        <f aca="false">Sheet1_Original_Data!E323</f>
        <v>40553.11</v>
      </c>
      <c r="F324" s="6" t="n">
        <f aca="false">Sheet1_Original_Data!F323</f>
        <v>5317</v>
      </c>
      <c r="G324" s="6" t="n">
        <f aca="false">Sheet1_Original_Data!G323</f>
        <v>0.165</v>
      </c>
      <c r="H324" s="6" t="n">
        <f aca="false">Sheet1_Original_Data!H323</f>
        <v>17</v>
      </c>
      <c r="I324" s="6" t="n">
        <f aca="false">Sheet1_Original_Data!I323</f>
        <v>84.3</v>
      </c>
      <c r="J324" s="6" t="n">
        <f aca="false">Sheet1_Original_Data!J323</f>
        <v>11.82</v>
      </c>
      <c r="K324" s="6" t="n">
        <f aca="false">Sheet1_Original_Data!K323</f>
        <v>0</v>
      </c>
      <c r="L324" s="6" t="n">
        <f aca="false">Sheet1_Original_Data!L323</f>
        <v>4.1</v>
      </c>
      <c r="M324" s="6" t="n">
        <f aca="false">Sheet1_Original_Data!M323</f>
        <v>559660.84</v>
      </c>
      <c r="N324" s="6" t="n">
        <f aca="false">Sheet1_Original_Data!N323</f>
        <v>71443.61</v>
      </c>
      <c r="O324" s="4" t="n">
        <f aca="false">IF(Sheet1_Original_Data!J323="",MEDIAN(Sheet1_Original_Data!$J$4:$J$323),Sheet1_Original_Data!J323)</f>
        <v>11.82</v>
      </c>
      <c r="P324" s="4" t="n">
        <f aca="false">IF(Sheet1_Original_Data!L323="",MEDIAN(Sheet1_Original_Data!$L$4:$L$323),Sheet1_Original_Data!L323)</f>
        <v>4.1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16.15" hidden="false" customHeight="false" outlineLevel="0" collapsed="false">
      <c r="A1" s="2" t="s">
        <v>111</v>
      </c>
    </row>
    <row r="2" customFormat="false" ht="15" hidden="false" customHeight="false" outlineLevel="0" collapsed="false">
      <c r="A2" s="5" t="s">
        <v>112</v>
      </c>
      <c r="B2" s="5"/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A4" s="3" t="s">
        <v>1</v>
      </c>
      <c r="B4" s="3" t="s">
        <v>2</v>
      </c>
      <c r="C4" s="3" t="s">
        <v>4</v>
      </c>
      <c r="D4" s="3" t="s">
        <v>113</v>
      </c>
      <c r="E4" s="3" t="s">
        <v>114</v>
      </c>
      <c r="F4" s="3" t="s">
        <v>115</v>
      </c>
    </row>
    <row r="5" customFormat="false" ht="15" hidden="false" customHeight="false" outlineLevel="0" collapsed="false">
      <c r="A5" s="6" t="str">
        <f aca="false">Sheet2_Cleaned_Data!A5</f>
        <v>STR-1001</v>
      </c>
      <c r="B5" s="6" t="str">
        <f aca="false">Sheet2_Cleaned_Data!B5</f>
        <v>2025-01-01</v>
      </c>
      <c r="C5" s="6" t="str">
        <f aca="false">Sheet2_Cleaned_Data!D5</f>
        <v>Residential</v>
      </c>
      <c r="D5" s="7" t="n">
        <f aca="false">IF($C5="Airport",1,0)</f>
        <v>0</v>
      </c>
      <c r="E5" s="7" t="n">
        <f aca="false">IF($C5="Mall",1,0)</f>
        <v>0</v>
      </c>
      <c r="F5" s="7" t="n">
        <f aca="false">IF($C5="Residential",1,0)</f>
        <v>1</v>
      </c>
    </row>
    <row r="6" customFormat="false" ht="15" hidden="false" customHeight="false" outlineLevel="0" collapsed="false">
      <c r="A6" s="6" t="str">
        <f aca="false">Sheet2_Cleaned_Data!A6</f>
        <v>STR-1001</v>
      </c>
      <c r="B6" s="6" t="str">
        <f aca="false">Sheet2_Cleaned_Data!B6</f>
        <v>2025-02-01</v>
      </c>
      <c r="C6" s="6" t="str">
        <f aca="false">Sheet2_Cleaned_Data!D6</f>
        <v>Residential</v>
      </c>
      <c r="D6" s="7" t="n">
        <f aca="false">IF($C6="Airport",1,0)</f>
        <v>0</v>
      </c>
      <c r="E6" s="7" t="n">
        <f aca="false">IF($C6="Mall",1,0)</f>
        <v>0</v>
      </c>
      <c r="F6" s="7" t="n">
        <f aca="false">IF($C6="Residential",1,0)</f>
        <v>1</v>
      </c>
    </row>
    <row r="7" customFormat="false" ht="15" hidden="false" customHeight="false" outlineLevel="0" collapsed="false">
      <c r="A7" s="6" t="str">
        <f aca="false">Sheet2_Cleaned_Data!A7</f>
        <v>STR-1001</v>
      </c>
      <c r="B7" s="6" t="str">
        <f aca="false">Sheet2_Cleaned_Data!B7</f>
        <v>2025-03-01</v>
      </c>
      <c r="C7" s="6" t="str">
        <f aca="false">Sheet2_Cleaned_Data!D7</f>
        <v>Residential</v>
      </c>
      <c r="D7" s="7" t="n">
        <f aca="false">IF($C7="Airport",1,0)</f>
        <v>0</v>
      </c>
      <c r="E7" s="7" t="n">
        <f aca="false">IF($C7="Mall",1,0)</f>
        <v>0</v>
      </c>
      <c r="F7" s="7" t="n">
        <f aca="false">IF($C7="Residential",1,0)</f>
        <v>1</v>
      </c>
    </row>
    <row r="8" customFormat="false" ht="15" hidden="false" customHeight="false" outlineLevel="0" collapsed="false">
      <c r="A8" s="6" t="str">
        <f aca="false">Sheet2_Cleaned_Data!A8</f>
        <v>STR-1001</v>
      </c>
      <c r="B8" s="6" t="str">
        <f aca="false">Sheet2_Cleaned_Data!B8</f>
        <v>2025-04-01</v>
      </c>
      <c r="C8" s="6" t="str">
        <f aca="false">Sheet2_Cleaned_Data!D8</f>
        <v>Residential</v>
      </c>
      <c r="D8" s="7" t="n">
        <f aca="false">IF($C8="Airport",1,0)</f>
        <v>0</v>
      </c>
      <c r="E8" s="7" t="n">
        <f aca="false">IF($C8="Mall",1,0)</f>
        <v>0</v>
      </c>
      <c r="F8" s="7" t="n">
        <f aca="false">IF($C8="Residential",1,0)</f>
        <v>1</v>
      </c>
    </row>
    <row r="9" customFormat="false" ht="15" hidden="false" customHeight="false" outlineLevel="0" collapsed="false">
      <c r="A9" s="6" t="str">
        <f aca="false">Sheet2_Cleaned_Data!A9</f>
        <v>STR-1002</v>
      </c>
      <c r="B9" s="6" t="str">
        <f aca="false">Sheet2_Cleaned_Data!B9</f>
        <v>2025-01-01</v>
      </c>
      <c r="C9" s="6" t="str">
        <f aca="false">Sheet2_Cleaned_Data!D9</f>
        <v>High Street</v>
      </c>
      <c r="D9" s="7" t="n">
        <f aca="false">IF($C9="Airport",1,0)</f>
        <v>0</v>
      </c>
      <c r="E9" s="7" t="n">
        <f aca="false">IF($C9="Mall",1,0)</f>
        <v>0</v>
      </c>
      <c r="F9" s="7" t="n">
        <f aca="false">IF($C9="Residential",1,0)</f>
        <v>0</v>
      </c>
    </row>
    <row r="10" customFormat="false" ht="15" hidden="false" customHeight="false" outlineLevel="0" collapsed="false">
      <c r="A10" s="6" t="str">
        <f aca="false">Sheet2_Cleaned_Data!A10</f>
        <v>STR-1002</v>
      </c>
      <c r="B10" s="6" t="str">
        <f aca="false">Sheet2_Cleaned_Data!B10</f>
        <v>2025-02-01</v>
      </c>
      <c r="C10" s="6" t="str">
        <f aca="false">Sheet2_Cleaned_Data!D10</f>
        <v>High Street</v>
      </c>
      <c r="D10" s="7" t="n">
        <f aca="false">IF($C10="Airport",1,0)</f>
        <v>0</v>
      </c>
      <c r="E10" s="7" t="n">
        <f aca="false">IF($C10="Mall",1,0)</f>
        <v>0</v>
      </c>
      <c r="F10" s="7" t="n">
        <f aca="false">IF($C10="Residential",1,0)</f>
        <v>0</v>
      </c>
    </row>
    <row r="11" customFormat="false" ht="15" hidden="false" customHeight="false" outlineLevel="0" collapsed="false">
      <c r="A11" s="6" t="str">
        <f aca="false">Sheet2_Cleaned_Data!A11</f>
        <v>STR-1002</v>
      </c>
      <c r="B11" s="6" t="str">
        <f aca="false">Sheet2_Cleaned_Data!B11</f>
        <v>2025-03-01</v>
      </c>
      <c r="C11" s="6" t="str">
        <f aca="false">Sheet2_Cleaned_Data!D11</f>
        <v>High Street</v>
      </c>
      <c r="D11" s="7" t="n">
        <f aca="false">IF($C11="Airport",1,0)</f>
        <v>0</v>
      </c>
      <c r="E11" s="7" t="n">
        <f aca="false">IF($C11="Mall",1,0)</f>
        <v>0</v>
      </c>
      <c r="F11" s="7" t="n">
        <f aca="false">IF($C11="Residential",1,0)</f>
        <v>0</v>
      </c>
    </row>
    <row r="12" customFormat="false" ht="15" hidden="false" customHeight="false" outlineLevel="0" collapsed="false">
      <c r="A12" s="6" t="str">
        <f aca="false">Sheet2_Cleaned_Data!A12</f>
        <v>STR-1002</v>
      </c>
      <c r="B12" s="6" t="str">
        <f aca="false">Sheet2_Cleaned_Data!B12</f>
        <v>2025-04-01</v>
      </c>
      <c r="C12" s="6" t="str">
        <f aca="false">Sheet2_Cleaned_Data!D12</f>
        <v>High Street</v>
      </c>
      <c r="D12" s="7" t="n">
        <f aca="false">IF($C12="Airport",1,0)</f>
        <v>0</v>
      </c>
      <c r="E12" s="7" t="n">
        <f aca="false">IF($C12="Mall",1,0)</f>
        <v>0</v>
      </c>
      <c r="F12" s="7" t="n">
        <f aca="false">IF($C12="Residential",1,0)</f>
        <v>0</v>
      </c>
    </row>
    <row r="13" customFormat="false" ht="15" hidden="false" customHeight="false" outlineLevel="0" collapsed="false">
      <c r="A13" s="6" t="str">
        <f aca="false">Sheet2_Cleaned_Data!A13</f>
        <v>STR-1003</v>
      </c>
      <c r="B13" s="6" t="str">
        <f aca="false">Sheet2_Cleaned_Data!B13</f>
        <v>2025-01-01</v>
      </c>
      <c r="C13" s="6" t="str">
        <f aca="false">Sheet2_Cleaned_Data!D13</f>
        <v>Airport</v>
      </c>
      <c r="D13" s="7" t="n">
        <f aca="false">IF($C13="Airport",1,0)</f>
        <v>1</v>
      </c>
      <c r="E13" s="7" t="n">
        <f aca="false">IF($C13="Mall",1,0)</f>
        <v>0</v>
      </c>
      <c r="F13" s="7" t="n">
        <f aca="false">IF($C13="Residential",1,0)</f>
        <v>0</v>
      </c>
    </row>
    <row r="14" customFormat="false" ht="15" hidden="false" customHeight="false" outlineLevel="0" collapsed="false">
      <c r="A14" s="6" t="str">
        <f aca="false">Sheet2_Cleaned_Data!A14</f>
        <v>STR-1003</v>
      </c>
      <c r="B14" s="6" t="str">
        <f aca="false">Sheet2_Cleaned_Data!B14</f>
        <v>2025-02-01</v>
      </c>
      <c r="C14" s="6" t="str">
        <f aca="false">Sheet2_Cleaned_Data!D14</f>
        <v>Airport</v>
      </c>
      <c r="D14" s="7" t="n">
        <f aca="false">IF($C14="Airport",1,0)</f>
        <v>1</v>
      </c>
      <c r="E14" s="7" t="n">
        <f aca="false">IF($C14="Mall",1,0)</f>
        <v>0</v>
      </c>
      <c r="F14" s="7" t="n">
        <f aca="false">IF($C14="Residential",1,0)</f>
        <v>0</v>
      </c>
    </row>
    <row r="15" customFormat="false" ht="15" hidden="false" customHeight="false" outlineLevel="0" collapsed="false">
      <c r="A15" s="6" t="str">
        <f aca="false">Sheet2_Cleaned_Data!A15</f>
        <v>STR-1003</v>
      </c>
      <c r="B15" s="6" t="str">
        <f aca="false">Sheet2_Cleaned_Data!B15</f>
        <v>2025-03-01</v>
      </c>
      <c r="C15" s="6" t="str">
        <f aca="false">Sheet2_Cleaned_Data!D15</f>
        <v>Airport</v>
      </c>
      <c r="D15" s="7" t="n">
        <f aca="false">IF($C15="Airport",1,0)</f>
        <v>1</v>
      </c>
      <c r="E15" s="7" t="n">
        <f aca="false">IF($C15="Mall",1,0)</f>
        <v>0</v>
      </c>
      <c r="F15" s="7" t="n">
        <f aca="false">IF($C15="Residential",1,0)</f>
        <v>0</v>
      </c>
    </row>
    <row r="16" customFormat="false" ht="15" hidden="false" customHeight="false" outlineLevel="0" collapsed="false">
      <c r="A16" s="6" t="str">
        <f aca="false">Sheet2_Cleaned_Data!A16</f>
        <v>STR-1003</v>
      </c>
      <c r="B16" s="6" t="str">
        <f aca="false">Sheet2_Cleaned_Data!B16</f>
        <v>2025-04-01</v>
      </c>
      <c r="C16" s="6" t="str">
        <f aca="false">Sheet2_Cleaned_Data!D16</f>
        <v>Airport</v>
      </c>
      <c r="D16" s="7" t="n">
        <f aca="false">IF($C16="Airport",1,0)</f>
        <v>1</v>
      </c>
      <c r="E16" s="7" t="n">
        <f aca="false">IF($C16="Mall",1,0)</f>
        <v>0</v>
      </c>
      <c r="F16" s="7" t="n">
        <f aca="false">IF($C16="Residential",1,0)</f>
        <v>0</v>
      </c>
    </row>
    <row r="17" customFormat="false" ht="15" hidden="false" customHeight="false" outlineLevel="0" collapsed="false">
      <c r="A17" s="6" t="str">
        <f aca="false">Sheet2_Cleaned_Data!A17</f>
        <v>STR-1004</v>
      </c>
      <c r="B17" s="6" t="str">
        <f aca="false">Sheet2_Cleaned_Data!B17</f>
        <v>2025-01-01</v>
      </c>
      <c r="C17" s="6" t="str">
        <f aca="false">Sheet2_Cleaned_Data!D17</f>
        <v>Residential</v>
      </c>
      <c r="D17" s="7" t="n">
        <f aca="false">IF($C17="Airport",1,0)</f>
        <v>0</v>
      </c>
      <c r="E17" s="7" t="n">
        <f aca="false">IF($C17="Mall",1,0)</f>
        <v>0</v>
      </c>
      <c r="F17" s="7" t="n">
        <f aca="false">IF($C17="Residential",1,0)</f>
        <v>1</v>
      </c>
    </row>
    <row r="18" customFormat="false" ht="15" hidden="false" customHeight="false" outlineLevel="0" collapsed="false">
      <c r="A18" s="6" t="str">
        <f aca="false">Sheet2_Cleaned_Data!A18</f>
        <v>STR-1004</v>
      </c>
      <c r="B18" s="6" t="str">
        <f aca="false">Sheet2_Cleaned_Data!B18</f>
        <v>2025-02-01</v>
      </c>
      <c r="C18" s="6" t="str">
        <f aca="false">Sheet2_Cleaned_Data!D18</f>
        <v>Residential</v>
      </c>
      <c r="D18" s="7" t="n">
        <f aca="false">IF($C18="Airport",1,0)</f>
        <v>0</v>
      </c>
      <c r="E18" s="7" t="n">
        <f aca="false">IF($C18="Mall",1,0)</f>
        <v>0</v>
      </c>
      <c r="F18" s="7" t="n">
        <f aca="false">IF($C18="Residential",1,0)</f>
        <v>1</v>
      </c>
    </row>
    <row r="19" customFormat="false" ht="15" hidden="false" customHeight="false" outlineLevel="0" collapsed="false">
      <c r="A19" s="6" t="str">
        <f aca="false">Sheet2_Cleaned_Data!A19</f>
        <v>STR-1004</v>
      </c>
      <c r="B19" s="6" t="str">
        <f aca="false">Sheet2_Cleaned_Data!B19</f>
        <v>2025-03-01</v>
      </c>
      <c r="C19" s="6" t="str">
        <f aca="false">Sheet2_Cleaned_Data!D19</f>
        <v>Residential</v>
      </c>
      <c r="D19" s="7" t="n">
        <f aca="false">IF($C19="Airport",1,0)</f>
        <v>0</v>
      </c>
      <c r="E19" s="7" t="n">
        <f aca="false">IF($C19="Mall",1,0)</f>
        <v>0</v>
      </c>
      <c r="F19" s="7" t="n">
        <f aca="false">IF($C19="Residential",1,0)</f>
        <v>1</v>
      </c>
    </row>
    <row r="20" customFormat="false" ht="15" hidden="false" customHeight="false" outlineLevel="0" collapsed="false">
      <c r="A20" s="6" t="str">
        <f aca="false">Sheet2_Cleaned_Data!A20</f>
        <v>STR-1004</v>
      </c>
      <c r="B20" s="6" t="str">
        <f aca="false">Sheet2_Cleaned_Data!B20</f>
        <v>2025-04-01</v>
      </c>
      <c r="C20" s="6" t="str">
        <f aca="false">Sheet2_Cleaned_Data!D20</f>
        <v>Residential</v>
      </c>
      <c r="D20" s="7" t="n">
        <f aca="false">IF($C20="Airport",1,0)</f>
        <v>0</v>
      </c>
      <c r="E20" s="7" t="n">
        <f aca="false">IF($C20="Mall",1,0)</f>
        <v>0</v>
      </c>
      <c r="F20" s="7" t="n">
        <f aca="false">IF($C20="Residential",1,0)</f>
        <v>1</v>
      </c>
    </row>
    <row r="21" customFormat="false" ht="15" hidden="false" customHeight="false" outlineLevel="0" collapsed="false">
      <c r="A21" s="6" t="str">
        <f aca="false">Sheet2_Cleaned_Data!A21</f>
        <v>STR-1005</v>
      </c>
      <c r="B21" s="6" t="str">
        <f aca="false">Sheet2_Cleaned_Data!B21</f>
        <v>2025-01-01</v>
      </c>
      <c r="C21" s="6" t="str">
        <f aca="false">Sheet2_Cleaned_Data!D21</f>
        <v>Residential</v>
      </c>
      <c r="D21" s="7" t="n">
        <f aca="false">IF($C21="Airport",1,0)</f>
        <v>0</v>
      </c>
      <c r="E21" s="7" t="n">
        <f aca="false">IF($C21="Mall",1,0)</f>
        <v>0</v>
      </c>
      <c r="F21" s="7" t="n">
        <f aca="false">IF($C21="Residential",1,0)</f>
        <v>1</v>
      </c>
    </row>
    <row r="22" customFormat="false" ht="15" hidden="false" customHeight="false" outlineLevel="0" collapsed="false">
      <c r="A22" s="6" t="str">
        <f aca="false">Sheet2_Cleaned_Data!A22</f>
        <v>STR-1005</v>
      </c>
      <c r="B22" s="6" t="str">
        <f aca="false">Sheet2_Cleaned_Data!B22</f>
        <v>2025-02-01</v>
      </c>
      <c r="C22" s="6" t="str">
        <f aca="false">Sheet2_Cleaned_Data!D22</f>
        <v>Residential</v>
      </c>
      <c r="D22" s="7" t="n">
        <f aca="false">IF($C22="Airport",1,0)</f>
        <v>0</v>
      </c>
      <c r="E22" s="7" t="n">
        <f aca="false">IF($C22="Mall",1,0)</f>
        <v>0</v>
      </c>
      <c r="F22" s="7" t="n">
        <f aca="false">IF($C22="Residential",1,0)</f>
        <v>1</v>
      </c>
    </row>
    <row r="23" customFormat="false" ht="15" hidden="false" customHeight="false" outlineLevel="0" collapsed="false">
      <c r="A23" s="6" t="str">
        <f aca="false">Sheet2_Cleaned_Data!A23</f>
        <v>STR-1005</v>
      </c>
      <c r="B23" s="6" t="str">
        <f aca="false">Sheet2_Cleaned_Data!B23</f>
        <v>2025-03-01</v>
      </c>
      <c r="C23" s="6" t="str">
        <f aca="false">Sheet2_Cleaned_Data!D23</f>
        <v>Residential</v>
      </c>
      <c r="D23" s="7" t="n">
        <f aca="false">IF($C23="Airport",1,0)</f>
        <v>0</v>
      </c>
      <c r="E23" s="7" t="n">
        <f aca="false">IF($C23="Mall",1,0)</f>
        <v>0</v>
      </c>
      <c r="F23" s="7" t="n">
        <f aca="false">IF($C23="Residential",1,0)</f>
        <v>1</v>
      </c>
    </row>
    <row r="24" customFormat="false" ht="15" hidden="false" customHeight="false" outlineLevel="0" collapsed="false">
      <c r="A24" s="6" t="str">
        <f aca="false">Sheet2_Cleaned_Data!A24</f>
        <v>STR-1005</v>
      </c>
      <c r="B24" s="6" t="str">
        <f aca="false">Sheet2_Cleaned_Data!B24</f>
        <v>2025-04-01</v>
      </c>
      <c r="C24" s="6" t="str">
        <f aca="false">Sheet2_Cleaned_Data!D24</f>
        <v>Residential</v>
      </c>
      <c r="D24" s="7" t="n">
        <f aca="false">IF($C24="Airport",1,0)</f>
        <v>0</v>
      </c>
      <c r="E24" s="7" t="n">
        <f aca="false">IF($C24="Mall",1,0)</f>
        <v>0</v>
      </c>
      <c r="F24" s="7" t="n">
        <f aca="false">IF($C24="Residential",1,0)</f>
        <v>1</v>
      </c>
    </row>
    <row r="25" customFormat="false" ht="15" hidden="false" customHeight="false" outlineLevel="0" collapsed="false">
      <c r="A25" s="6" t="str">
        <f aca="false">Sheet2_Cleaned_Data!A25</f>
        <v>STR-1006</v>
      </c>
      <c r="B25" s="6" t="str">
        <f aca="false">Sheet2_Cleaned_Data!B25</f>
        <v>2025-01-01</v>
      </c>
      <c r="C25" s="6" t="str">
        <f aca="false">Sheet2_Cleaned_Data!D25</f>
        <v>Residential</v>
      </c>
      <c r="D25" s="7" t="n">
        <f aca="false">IF($C25="Airport",1,0)</f>
        <v>0</v>
      </c>
      <c r="E25" s="7" t="n">
        <f aca="false">IF($C25="Mall",1,0)</f>
        <v>0</v>
      </c>
      <c r="F25" s="7" t="n">
        <f aca="false">IF($C25="Residential",1,0)</f>
        <v>1</v>
      </c>
    </row>
    <row r="26" customFormat="false" ht="15" hidden="false" customHeight="false" outlineLevel="0" collapsed="false">
      <c r="A26" s="6" t="str">
        <f aca="false">Sheet2_Cleaned_Data!A26</f>
        <v>STR-1006</v>
      </c>
      <c r="B26" s="6" t="str">
        <f aca="false">Sheet2_Cleaned_Data!B26</f>
        <v>2025-02-01</v>
      </c>
      <c r="C26" s="6" t="str">
        <f aca="false">Sheet2_Cleaned_Data!D26</f>
        <v>Residential</v>
      </c>
      <c r="D26" s="7" t="n">
        <f aca="false">IF($C26="Airport",1,0)</f>
        <v>0</v>
      </c>
      <c r="E26" s="7" t="n">
        <f aca="false">IF($C26="Mall",1,0)</f>
        <v>0</v>
      </c>
      <c r="F26" s="7" t="n">
        <f aca="false">IF($C26="Residential",1,0)</f>
        <v>1</v>
      </c>
    </row>
    <row r="27" customFormat="false" ht="15" hidden="false" customHeight="false" outlineLevel="0" collapsed="false">
      <c r="A27" s="6" t="str">
        <f aca="false">Sheet2_Cleaned_Data!A27</f>
        <v>STR-1006</v>
      </c>
      <c r="B27" s="6" t="str">
        <f aca="false">Sheet2_Cleaned_Data!B27</f>
        <v>2025-03-01</v>
      </c>
      <c r="C27" s="6" t="str">
        <f aca="false">Sheet2_Cleaned_Data!D27</f>
        <v>Residential</v>
      </c>
      <c r="D27" s="7" t="n">
        <f aca="false">IF($C27="Airport",1,0)</f>
        <v>0</v>
      </c>
      <c r="E27" s="7" t="n">
        <f aca="false">IF($C27="Mall",1,0)</f>
        <v>0</v>
      </c>
      <c r="F27" s="7" t="n">
        <f aca="false">IF($C27="Residential",1,0)</f>
        <v>1</v>
      </c>
    </row>
    <row r="28" customFormat="false" ht="15" hidden="false" customHeight="false" outlineLevel="0" collapsed="false">
      <c r="A28" s="6" t="str">
        <f aca="false">Sheet2_Cleaned_Data!A28</f>
        <v>STR-1006</v>
      </c>
      <c r="B28" s="6" t="str">
        <f aca="false">Sheet2_Cleaned_Data!B28</f>
        <v>2025-04-01</v>
      </c>
      <c r="C28" s="6" t="str">
        <f aca="false">Sheet2_Cleaned_Data!D28</f>
        <v>Residential</v>
      </c>
      <c r="D28" s="7" t="n">
        <f aca="false">IF($C28="Airport",1,0)</f>
        <v>0</v>
      </c>
      <c r="E28" s="7" t="n">
        <f aca="false">IF($C28="Mall",1,0)</f>
        <v>0</v>
      </c>
      <c r="F28" s="7" t="n">
        <f aca="false">IF($C28="Residential",1,0)</f>
        <v>1</v>
      </c>
    </row>
    <row r="29" customFormat="false" ht="15" hidden="false" customHeight="false" outlineLevel="0" collapsed="false">
      <c r="A29" s="6" t="str">
        <f aca="false">Sheet2_Cleaned_Data!A29</f>
        <v>STR-1007</v>
      </c>
      <c r="B29" s="6" t="str">
        <f aca="false">Sheet2_Cleaned_Data!B29</f>
        <v>2025-01-01</v>
      </c>
      <c r="C29" s="6" t="str">
        <f aca="false">Sheet2_Cleaned_Data!D29</f>
        <v>Mall</v>
      </c>
      <c r="D29" s="7" t="n">
        <f aca="false">IF($C29="Airport",1,0)</f>
        <v>0</v>
      </c>
      <c r="E29" s="7" t="n">
        <f aca="false">IF($C29="Mall",1,0)</f>
        <v>1</v>
      </c>
      <c r="F29" s="7" t="n">
        <f aca="false">IF($C29="Residential",1,0)</f>
        <v>0</v>
      </c>
    </row>
    <row r="30" customFormat="false" ht="15" hidden="false" customHeight="false" outlineLevel="0" collapsed="false">
      <c r="A30" s="6" t="str">
        <f aca="false">Sheet2_Cleaned_Data!A30</f>
        <v>STR-1007</v>
      </c>
      <c r="B30" s="6" t="str">
        <f aca="false">Sheet2_Cleaned_Data!B30</f>
        <v>2025-02-01</v>
      </c>
      <c r="C30" s="6" t="str">
        <f aca="false">Sheet2_Cleaned_Data!D30</f>
        <v>Mall</v>
      </c>
      <c r="D30" s="7" t="n">
        <f aca="false">IF($C30="Airport",1,0)</f>
        <v>0</v>
      </c>
      <c r="E30" s="7" t="n">
        <f aca="false">IF($C30="Mall",1,0)</f>
        <v>1</v>
      </c>
      <c r="F30" s="7" t="n">
        <f aca="false">IF($C30="Residential",1,0)</f>
        <v>0</v>
      </c>
    </row>
    <row r="31" customFormat="false" ht="15" hidden="false" customHeight="false" outlineLevel="0" collapsed="false">
      <c r="A31" s="6" t="str">
        <f aca="false">Sheet2_Cleaned_Data!A31</f>
        <v>STR-1007</v>
      </c>
      <c r="B31" s="6" t="str">
        <f aca="false">Sheet2_Cleaned_Data!B31</f>
        <v>2025-03-01</v>
      </c>
      <c r="C31" s="6" t="str">
        <f aca="false">Sheet2_Cleaned_Data!D31</f>
        <v>Mall</v>
      </c>
      <c r="D31" s="7" t="n">
        <f aca="false">IF($C31="Airport",1,0)</f>
        <v>0</v>
      </c>
      <c r="E31" s="7" t="n">
        <f aca="false">IF($C31="Mall",1,0)</f>
        <v>1</v>
      </c>
      <c r="F31" s="7" t="n">
        <f aca="false">IF($C31="Residential",1,0)</f>
        <v>0</v>
      </c>
    </row>
    <row r="32" customFormat="false" ht="15" hidden="false" customHeight="false" outlineLevel="0" collapsed="false">
      <c r="A32" s="6" t="str">
        <f aca="false">Sheet2_Cleaned_Data!A32</f>
        <v>STR-1007</v>
      </c>
      <c r="B32" s="6" t="str">
        <f aca="false">Sheet2_Cleaned_Data!B32</f>
        <v>2025-04-01</v>
      </c>
      <c r="C32" s="6" t="str">
        <f aca="false">Sheet2_Cleaned_Data!D32</f>
        <v>Mall</v>
      </c>
      <c r="D32" s="7" t="n">
        <f aca="false">IF($C32="Airport",1,0)</f>
        <v>0</v>
      </c>
      <c r="E32" s="7" t="n">
        <f aca="false">IF($C32="Mall",1,0)</f>
        <v>1</v>
      </c>
      <c r="F32" s="7" t="n">
        <f aca="false">IF($C32="Residential",1,0)</f>
        <v>0</v>
      </c>
    </row>
    <row r="33" customFormat="false" ht="15" hidden="false" customHeight="false" outlineLevel="0" collapsed="false">
      <c r="A33" s="6" t="str">
        <f aca="false">Sheet2_Cleaned_Data!A33</f>
        <v>STR-1008</v>
      </c>
      <c r="B33" s="6" t="str">
        <f aca="false">Sheet2_Cleaned_Data!B33</f>
        <v>2025-01-01</v>
      </c>
      <c r="C33" s="6" t="str">
        <f aca="false">Sheet2_Cleaned_Data!D33</f>
        <v>Residential</v>
      </c>
      <c r="D33" s="7" t="n">
        <f aca="false">IF($C33="Airport",1,0)</f>
        <v>0</v>
      </c>
      <c r="E33" s="7" t="n">
        <f aca="false">IF($C33="Mall",1,0)</f>
        <v>0</v>
      </c>
      <c r="F33" s="7" t="n">
        <f aca="false">IF($C33="Residential",1,0)</f>
        <v>1</v>
      </c>
    </row>
    <row r="34" customFormat="false" ht="15" hidden="false" customHeight="false" outlineLevel="0" collapsed="false">
      <c r="A34" s="6" t="str">
        <f aca="false">Sheet2_Cleaned_Data!A34</f>
        <v>STR-1008</v>
      </c>
      <c r="B34" s="6" t="str">
        <f aca="false">Sheet2_Cleaned_Data!B34</f>
        <v>2025-02-01</v>
      </c>
      <c r="C34" s="6" t="str">
        <f aca="false">Sheet2_Cleaned_Data!D34</f>
        <v>Residential</v>
      </c>
      <c r="D34" s="7" t="n">
        <f aca="false">IF($C34="Airport",1,0)</f>
        <v>0</v>
      </c>
      <c r="E34" s="7" t="n">
        <f aca="false">IF($C34="Mall",1,0)</f>
        <v>0</v>
      </c>
      <c r="F34" s="7" t="n">
        <f aca="false">IF($C34="Residential",1,0)</f>
        <v>1</v>
      </c>
    </row>
    <row r="35" customFormat="false" ht="15" hidden="false" customHeight="false" outlineLevel="0" collapsed="false">
      <c r="A35" s="6" t="str">
        <f aca="false">Sheet2_Cleaned_Data!A35</f>
        <v>STR-1008</v>
      </c>
      <c r="B35" s="6" t="str">
        <f aca="false">Sheet2_Cleaned_Data!B35</f>
        <v>2025-03-01</v>
      </c>
      <c r="C35" s="6" t="str">
        <f aca="false">Sheet2_Cleaned_Data!D35</f>
        <v>Residential</v>
      </c>
      <c r="D35" s="7" t="n">
        <f aca="false">IF($C35="Airport",1,0)</f>
        <v>0</v>
      </c>
      <c r="E35" s="7" t="n">
        <f aca="false">IF($C35="Mall",1,0)</f>
        <v>0</v>
      </c>
      <c r="F35" s="7" t="n">
        <f aca="false">IF($C35="Residential",1,0)</f>
        <v>1</v>
      </c>
    </row>
    <row r="36" customFormat="false" ht="15" hidden="false" customHeight="false" outlineLevel="0" collapsed="false">
      <c r="A36" s="6" t="str">
        <f aca="false">Sheet2_Cleaned_Data!A36</f>
        <v>STR-1008</v>
      </c>
      <c r="B36" s="6" t="str">
        <f aca="false">Sheet2_Cleaned_Data!B36</f>
        <v>2025-04-01</v>
      </c>
      <c r="C36" s="6" t="str">
        <f aca="false">Sheet2_Cleaned_Data!D36</f>
        <v>Residential</v>
      </c>
      <c r="D36" s="7" t="n">
        <f aca="false">IF($C36="Airport",1,0)</f>
        <v>0</v>
      </c>
      <c r="E36" s="7" t="n">
        <f aca="false">IF($C36="Mall",1,0)</f>
        <v>0</v>
      </c>
      <c r="F36" s="7" t="n">
        <f aca="false">IF($C36="Residential",1,0)</f>
        <v>1</v>
      </c>
    </row>
    <row r="37" customFormat="false" ht="15" hidden="false" customHeight="false" outlineLevel="0" collapsed="false">
      <c r="A37" s="6" t="str">
        <f aca="false">Sheet2_Cleaned_Data!A37</f>
        <v>STR-1009</v>
      </c>
      <c r="B37" s="6" t="str">
        <f aca="false">Sheet2_Cleaned_Data!B37</f>
        <v>2025-01-01</v>
      </c>
      <c r="C37" s="6" t="str">
        <f aca="false">Sheet2_Cleaned_Data!D37</f>
        <v>Residential</v>
      </c>
      <c r="D37" s="7" t="n">
        <f aca="false">IF($C37="Airport",1,0)</f>
        <v>0</v>
      </c>
      <c r="E37" s="7" t="n">
        <f aca="false">IF($C37="Mall",1,0)</f>
        <v>0</v>
      </c>
      <c r="F37" s="7" t="n">
        <f aca="false">IF($C37="Residential",1,0)</f>
        <v>1</v>
      </c>
    </row>
    <row r="38" customFormat="false" ht="15" hidden="false" customHeight="false" outlineLevel="0" collapsed="false">
      <c r="A38" s="6" t="str">
        <f aca="false">Sheet2_Cleaned_Data!A38</f>
        <v>STR-1009</v>
      </c>
      <c r="B38" s="6" t="str">
        <f aca="false">Sheet2_Cleaned_Data!B38</f>
        <v>2025-02-01</v>
      </c>
      <c r="C38" s="6" t="str">
        <f aca="false">Sheet2_Cleaned_Data!D38</f>
        <v>Residential</v>
      </c>
      <c r="D38" s="7" t="n">
        <f aca="false">IF($C38="Airport",1,0)</f>
        <v>0</v>
      </c>
      <c r="E38" s="7" t="n">
        <f aca="false">IF($C38="Mall",1,0)</f>
        <v>0</v>
      </c>
      <c r="F38" s="7" t="n">
        <f aca="false">IF($C38="Residential",1,0)</f>
        <v>1</v>
      </c>
    </row>
    <row r="39" customFormat="false" ht="15" hidden="false" customHeight="false" outlineLevel="0" collapsed="false">
      <c r="A39" s="6" t="str">
        <f aca="false">Sheet2_Cleaned_Data!A39</f>
        <v>STR-1009</v>
      </c>
      <c r="B39" s="6" t="str">
        <f aca="false">Sheet2_Cleaned_Data!B39</f>
        <v>2025-03-01</v>
      </c>
      <c r="C39" s="6" t="str">
        <f aca="false">Sheet2_Cleaned_Data!D39</f>
        <v>Residential</v>
      </c>
      <c r="D39" s="7" t="n">
        <f aca="false">IF($C39="Airport",1,0)</f>
        <v>0</v>
      </c>
      <c r="E39" s="7" t="n">
        <f aca="false">IF($C39="Mall",1,0)</f>
        <v>0</v>
      </c>
      <c r="F39" s="7" t="n">
        <f aca="false">IF($C39="Residential",1,0)</f>
        <v>1</v>
      </c>
    </row>
    <row r="40" customFormat="false" ht="15" hidden="false" customHeight="false" outlineLevel="0" collapsed="false">
      <c r="A40" s="6" t="str">
        <f aca="false">Sheet2_Cleaned_Data!A40</f>
        <v>STR-1009</v>
      </c>
      <c r="B40" s="6" t="str">
        <f aca="false">Sheet2_Cleaned_Data!B40</f>
        <v>2025-04-01</v>
      </c>
      <c r="C40" s="6" t="str">
        <f aca="false">Sheet2_Cleaned_Data!D40</f>
        <v>Residential</v>
      </c>
      <c r="D40" s="7" t="n">
        <f aca="false">IF($C40="Airport",1,0)</f>
        <v>0</v>
      </c>
      <c r="E40" s="7" t="n">
        <f aca="false">IF($C40="Mall",1,0)</f>
        <v>0</v>
      </c>
      <c r="F40" s="7" t="n">
        <f aca="false">IF($C40="Residential",1,0)</f>
        <v>1</v>
      </c>
    </row>
    <row r="41" customFormat="false" ht="15" hidden="false" customHeight="false" outlineLevel="0" collapsed="false">
      <c r="A41" s="6" t="str">
        <f aca="false">Sheet2_Cleaned_Data!A41</f>
        <v>STR-1010</v>
      </c>
      <c r="B41" s="6" t="str">
        <f aca="false">Sheet2_Cleaned_Data!B41</f>
        <v>2025-01-01</v>
      </c>
      <c r="C41" s="6" t="str">
        <f aca="false">Sheet2_Cleaned_Data!D41</f>
        <v>Mall</v>
      </c>
      <c r="D41" s="7" t="n">
        <f aca="false">IF($C41="Airport",1,0)</f>
        <v>0</v>
      </c>
      <c r="E41" s="7" t="n">
        <f aca="false">IF($C41="Mall",1,0)</f>
        <v>1</v>
      </c>
      <c r="F41" s="7" t="n">
        <f aca="false">IF($C41="Residential",1,0)</f>
        <v>0</v>
      </c>
    </row>
    <row r="42" customFormat="false" ht="15" hidden="false" customHeight="false" outlineLevel="0" collapsed="false">
      <c r="A42" s="6" t="str">
        <f aca="false">Sheet2_Cleaned_Data!A42</f>
        <v>STR-1010</v>
      </c>
      <c r="B42" s="6" t="str">
        <f aca="false">Sheet2_Cleaned_Data!B42</f>
        <v>2025-02-01</v>
      </c>
      <c r="C42" s="6" t="str">
        <f aca="false">Sheet2_Cleaned_Data!D42</f>
        <v>Mall</v>
      </c>
      <c r="D42" s="7" t="n">
        <f aca="false">IF($C42="Airport",1,0)</f>
        <v>0</v>
      </c>
      <c r="E42" s="7" t="n">
        <f aca="false">IF($C42="Mall",1,0)</f>
        <v>1</v>
      </c>
      <c r="F42" s="7" t="n">
        <f aca="false">IF($C42="Residential",1,0)</f>
        <v>0</v>
      </c>
    </row>
    <row r="43" customFormat="false" ht="15" hidden="false" customHeight="false" outlineLevel="0" collapsed="false">
      <c r="A43" s="6" t="str">
        <f aca="false">Sheet2_Cleaned_Data!A43</f>
        <v>STR-1010</v>
      </c>
      <c r="B43" s="6" t="str">
        <f aca="false">Sheet2_Cleaned_Data!B43</f>
        <v>2025-03-01</v>
      </c>
      <c r="C43" s="6" t="str">
        <f aca="false">Sheet2_Cleaned_Data!D43</f>
        <v>Mall</v>
      </c>
      <c r="D43" s="7" t="n">
        <f aca="false">IF($C43="Airport",1,0)</f>
        <v>0</v>
      </c>
      <c r="E43" s="7" t="n">
        <f aca="false">IF($C43="Mall",1,0)</f>
        <v>1</v>
      </c>
      <c r="F43" s="7" t="n">
        <f aca="false">IF($C43="Residential",1,0)</f>
        <v>0</v>
      </c>
    </row>
    <row r="44" customFormat="false" ht="15" hidden="false" customHeight="false" outlineLevel="0" collapsed="false">
      <c r="A44" s="6" t="str">
        <f aca="false">Sheet2_Cleaned_Data!A44</f>
        <v>STR-1010</v>
      </c>
      <c r="B44" s="6" t="str">
        <f aca="false">Sheet2_Cleaned_Data!B44</f>
        <v>2025-04-01</v>
      </c>
      <c r="C44" s="6" t="str">
        <f aca="false">Sheet2_Cleaned_Data!D44</f>
        <v>Mall</v>
      </c>
      <c r="D44" s="7" t="n">
        <f aca="false">IF($C44="Airport",1,0)</f>
        <v>0</v>
      </c>
      <c r="E44" s="7" t="n">
        <f aca="false">IF($C44="Mall",1,0)</f>
        <v>1</v>
      </c>
      <c r="F44" s="7" t="n">
        <f aca="false">IF($C44="Residential",1,0)</f>
        <v>0</v>
      </c>
    </row>
    <row r="45" customFormat="false" ht="15" hidden="false" customHeight="false" outlineLevel="0" collapsed="false">
      <c r="A45" s="6" t="str">
        <f aca="false">Sheet2_Cleaned_Data!A45</f>
        <v>STR-1011</v>
      </c>
      <c r="B45" s="6" t="str">
        <f aca="false">Sheet2_Cleaned_Data!B45</f>
        <v>2025-01-01</v>
      </c>
      <c r="C45" s="6" t="str">
        <f aca="false">Sheet2_Cleaned_Data!D45</f>
        <v>Mall</v>
      </c>
      <c r="D45" s="7" t="n">
        <f aca="false">IF($C45="Airport",1,0)</f>
        <v>0</v>
      </c>
      <c r="E45" s="7" t="n">
        <f aca="false">IF($C45="Mall",1,0)</f>
        <v>1</v>
      </c>
      <c r="F45" s="7" t="n">
        <f aca="false">IF($C45="Residential",1,0)</f>
        <v>0</v>
      </c>
    </row>
    <row r="46" customFormat="false" ht="15" hidden="false" customHeight="false" outlineLevel="0" collapsed="false">
      <c r="A46" s="6" t="str">
        <f aca="false">Sheet2_Cleaned_Data!A46</f>
        <v>STR-1011</v>
      </c>
      <c r="B46" s="6" t="str">
        <f aca="false">Sheet2_Cleaned_Data!B46</f>
        <v>2025-02-01</v>
      </c>
      <c r="C46" s="6" t="str">
        <f aca="false">Sheet2_Cleaned_Data!D46</f>
        <v>Mall</v>
      </c>
      <c r="D46" s="7" t="n">
        <f aca="false">IF($C46="Airport",1,0)</f>
        <v>0</v>
      </c>
      <c r="E46" s="7" t="n">
        <f aca="false">IF($C46="Mall",1,0)</f>
        <v>1</v>
      </c>
      <c r="F46" s="7" t="n">
        <f aca="false">IF($C46="Residential",1,0)</f>
        <v>0</v>
      </c>
    </row>
    <row r="47" customFormat="false" ht="15" hidden="false" customHeight="false" outlineLevel="0" collapsed="false">
      <c r="A47" s="6" t="str">
        <f aca="false">Sheet2_Cleaned_Data!A47</f>
        <v>STR-1011</v>
      </c>
      <c r="B47" s="6" t="str">
        <f aca="false">Sheet2_Cleaned_Data!B47</f>
        <v>2025-03-01</v>
      </c>
      <c r="C47" s="6" t="str">
        <f aca="false">Sheet2_Cleaned_Data!D47</f>
        <v>Mall</v>
      </c>
      <c r="D47" s="7" t="n">
        <f aca="false">IF($C47="Airport",1,0)</f>
        <v>0</v>
      </c>
      <c r="E47" s="7" t="n">
        <f aca="false">IF($C47="Mall",1,0)</f>
        <v>1</v>
      </c>
      <c r="F47" s="7" t="n">
        <f aca="false">IF($C47="Residential",1,0)</f>
        <v>0</v>
      </c>
    </row>
    <row r="48" customFormat="false" ht="15" hidden="false" customHeight="false" outlineLevel="0" collapsed="false">
      <c r="A48" s="6" t="str">
        <f aca="false">Sheet2_Cleaned_Data!A48</f>
        <v>STR-1011</v>
      </c>
      <c r="B48" s="6" t="str">
        <f aca="false">Sheet2_Cleaned_Data!B48</f>
        <v>2025-04-01</v>
      </c>
      <c r="C48" s="6" t="str">
        <f aca="false">Sheet2_Cleaned_Data!D48</f>
        <v>Mall</v>
      </c>
      <c r="D48" s="7" t="n">
        <f aca="false">IF($C48="Airport",1,0)</f>
        <v>0</v>
      </c>
      <c r="E48" s="7" t="n">
        <f aca="false">IF($C48="Mall",1,0)</f>
        <v>1</v>
      </c>
      <c r="F48" s="7" t="n">
        <f aca="false">IF($C48="Residential",1,0)</f>
        <v>0</v>
      </c>
    </row>
    <row r="49" customFormat="false" ht="15" hidden="false" customHeight="false" outlineLevel="0" collapsed="false">
      <c r="A49" s="6" t="str">
        <f aca="false">Sheet2_Cleaned_Data!A49</f>
        <v>STR-1012</v>
      </c>
      <c r="B49" s="6" t="str">
        <f aca="false">Sheet2_Cleaned_Data!B49</f>
        <v>2025-01-01</v>
      </c>
      <c r="C49" s="6" t="str">
        <f aca="false">Sheet2_Cleaned_Data!D49</f>
        <v>Residential</v>
      </c>
      <c r="D49" s="7" t="n">
        <f aca="false">IF($C49="Airport",1,0)</f>
        <v>0</v>
      </c>
      <c r="E49" s="7" t="n">
        <f aca="false">IF($C49="Mall",1,0)</f>
        <v>0</v>
      </c>
      <c r="F49" s="7" t="n">
        <f aca="false">IF($C49="Residential",1,0)</f>
        <v>1</v>
      </c>
    </row>
    <row r="50" customFormat="false" ht="15" hidden="false" customHeight="false" outlineLevel="0" collapsed="false">
      <c r="A50" s="6" t="str">
        <f aca="false">Sheet2_Cleaned_Data!A50</f>
        <v>STR-1012</v>
      </c>
      <c r="B50" s="6" t="str">
        <f aca="false">Sheet2_Cleaned_Data!B50</f>
        <v>2025-02-01</v>
      </c>
      <c r="C50" s="6" t="str">
        <f aca="false">Sheet2_Cleaned_Data!D50</f>
        <v>Residential</v>
      </c>
      <c r="D50" s="7" t="n">
        <f aca="false">IF($C50="Airport",1,0)</f>
        <v>0</v>
      </c>
      <c r="E50" s="7" t="n">
        <f aca="false">IF($C50="Mall",1,0)</f>
        <v>0</v>
      </c>
      <c r="F50" s="7" t="n">
        <f aca="false">IF($C50="Residential",1,0)</f>
        <v>1</v>
      </c>
    </row>
    <row r="51" customFormat="false" ht="15" hidden="false" customHeight="false" outlineLevel="0" collapsed="false">
      <c r="A51" s="6" t="str">
        <f aca="false">Sheet2_Cleaned_Data!A51</f>
        <v>STR-1012</v>
      </c>
      <c r="B51" s="6" t="str">
        <f aca="false">Sheet2_Cleaned_Data!B51</f>
        <v>2025-03-01</v>
      </c>
      <c r="C51" s="6" t="str">
        <f aca="false">Sheet2_Cleaned_Data!D51</f>
        <v>Residential</v>
      </c>
      <c r="D51" s="7" t="n">
        <f aca="false">IF($C51="Airport",1,0)</f>
        <v>0</v>
      </c>
      <c r="E51" s="7" t="n">
        <f aca="false">IF($C51="Mall",1,0)</f>
        <v>0</v>
      </c>
      <c r="F51" s="7" t="n">
        <f aca="false">IF($C51="Residential",1,0)</f>
        <v>1</v>
      </c>
    </row>
    <row r="52" customFormat="false" ht="15" hidden="false" customHeight="false" outlineLevel="0" collapsed="false">
      <c r="A52" s="6" t="str">
        <f aca="false">Sheet2_Cleaned_Data!A52</f>
        <v>STR-1012</v>
      </c>
      <c r="B52" s="6" t="str">
        <f aca="false">Sheet2_Cleaned_Data!B52</f>
        <v>2025-04-01</v>
      </c>
      <c r="C52" s="6" t="str">
        <f aca="false">Sheet2_Cleaned_Data!D52</f>
        <v>Residential</v>
      </c>
      <c r="D52" s="7" t="n">
        <f aca="false">IF($C52="Airport",1,0)</f>
        <v>0</v>
      </c>
      <c r="E52" s="7" t="n">
        <f aca="false">IF($C52="Mall",1,0)</f>
        <v>0</v>
      </c>
      <c r="F52" s="7" t="n">
        <f aca="false">IF($C52="Residential",1,0)</f>
        <v>1</v>
      </c>
    </row>
    <row r="53" customFormat="false" ht="15" hidden="false" customHeight="false" outlineLevel="0" collapsed="false">
      <c r="A53" s="6" t="str">
        <f aca="false">Sheet2_Cleaned_Data!A53</f>
        <v>STR-1013</v>
      </c>
      <c r="B53" s="6" t="str">
        <f aca="false">Sheet2_Cleaned_Data!B53</f>
        <v>2025-01-01</v>
      </c>
      <c r="C53" s="6" t="str">
        <f aca="false">Sheet2_Cleaned_Data!D53</f>
        <v>Mall</v>
      </c>
      <c r="D53" s="7" t="n">
        <f aca="false">IF($C53="Airport",1,0)</f>
        <v>0</v>
      </c>
      <c r="E53" s="7" t="n">
        <f aca="false">IF($C53="Mall",1,0)</f>
        <v>1</v>
      </c>
      <c r="F53" s="7" t="n">
        <f aca="false">IF($C53="Residential",1,0)</f>
        <v>0</v>
      </c>
    </row>
    <row r="54" customFormat="false" ht="15" hidden="false" customHeight="false" outlineLevel="0" collapsed="false">
      <c r="A54" s="6" t="str">
        <f aca="false">Sheet2_Cleaned_Data!A54</f>
        <v>STR-1013</v>
      </c>
      <c r="B54" s="6" t="str">
        <f aca="false">Sheet2_Cleaned_Data!B54</f>
        <v>2025-02-01</v>
      </c>
      <c r="C54" s="6" t="str">
        <f aca="false">Sheet2_Cleaned_Data!D54</f>
        <v>Mall</v>
      </c>
      <c r="D54" s="7" t="n">
        <f aca="false">IF($C54="Airport",1,0)</f>
        <v>0</v>
      </c>
      <c r="E54" s="7" t="n">
        <f aca="false">IF($C54="Mall",1,0)</f>
        <v>1</v>
      </c>
      <c r="F54" s="7" t="n">
        <f aca="false">IF($C54="Residential",1,0)</f>
        <v>0</v>
      </c>
    </row>
    <row r="55" customFormat="false" ht="15" hidden="false" customHeight="false" outlineLevel="0" collapsed="false">
      <c r="A55" s="6" t="str">
        <f aca="false">Sheet2_Cleaned_Data!A55</f>
        <v>STR-1013</v>
      </c>
      <c r="B55" s="6" t="str">
        <f aca="false">Sheet2_Cleaned_Data!B55</f>
        <v>2025-03-01</v>
      </c>
      <c r="C55" s="6" t="str">
        <f aca="false">Sheet2_Cleaned_Data!D55</f>
        <v>Mall</v>
      </c>
      <c r="D55" s="7" t="n">
        <f aca="false">IF($C55="Airport",1,0)</f>
        <v>0</v>
      </c>
      <c r="E55" s="7" t="n">
        <f aca="false">IF($C55="Mall",1,0)</f>
        <v>1</v>
      </c>
      <c r="F55" s="7" t="n">
        <f aca="false">IF($C55="Residential",1,0)</f>
        <v>0</v>
      </c>
    </row>
    <row r="56" customFormat="false" ht="15" hidden="false" customHeight="false" outlineLevel="0" collapsed="false">
      <c r="A56" s="6" t="str">
        <f aca="false">Sheet2_Cleaned_Data!A56</f>
        <v>STR-1013</v>
      </c>
      <c r="B56" s="6" t="str">
        <f aca="false">Sheet2_Cleaned_Data!B56</f>
        <v>2025-04-01</v>
      </c>
      <c r="C56" s="6" t="str">
        <f aca="false">Sheet2_Cleaned_Data!D56</f>
        <v>Mall</v>
      </c>
      <c r="D56" s="7" t="n">
        <f aca="false">IF($C56="Airport",1,0)</f>
        <v>0</v>
      </c>
      <c r="E56" s="7" t="n">
        <f aca="false">IF($C56="Mall",1,0)</f>
        <v>1</v>
      </c>
      <c r="F56" s="7" t="n">
        <f aca="false">IF($C56="Residential",1,0)</f>
        <v>0</v>
      </c>
    </row>
    <row r="57" customFormat="false" ht="15" hidden="false" customHeight="false" outlineLevel="0" collapsed="false">
      <c r="A57" s="6" t="str">
        <f aca="false">Sheet2_Cleaned_Data!A57</f>
        <v>STR-1014</v>
      </c>
      <c r="B57" s="6" t="str">
        <f aca="false">Sheet2_Cleaned_Data!B57</f>
        <v>2025-01-01</v>
      </c>
      <c r="C57" s="6" t="str">
        <f aca="false">Sheet2_Cleaned_Data!D57</f>
        <v>High Street</v>
      </c>
      <c r="D57" s="7" t="n">
        <f aca="false">IF($C57="Airport",1,0)</f>
        <v>0</v>
      </c>
      <c r="E57" s="7" t="n">
        <f aca="false">IF($C57="Mall",1,0)</f>
        <v>0</v>
      </c>
      <c r="F57" s="7" t="n">
        <f aca="false">IF($C57="Residential",1,0)</f>
        <v>0</v>
      </c>
    </row>
    <row r="58" customFormat="false" ht="15" hidden="false" customHeight="false" outlineLevel="0" collapsed="false">
      <c r="A58" s="6" t="str">
        <f aca="false">Sheet2_Cleaned_Data!A58</f>
        <v>STR-1014</v>
      </c>
      <c r="B58" s="6" t="str">
        <f aca="false">Sheet2_Cleaned_Data!B58</f>
        <v>2025-02-01</v>
      </c>
      <c r="C58" s="6" t="str">
        <f aca="false">Sheet2_Cleaned_Data!D58</f>
        <v>High Street</v>
      </c>
      <c r="D58" s="7" t="n">
        <f aca="false">IF($C58="Airport",1,0)</f>
        <v>0</v>
      </c>
      <c r="E58" s="7" t="n">
        <f aca="false">IF($C58="Mall",1,0)</f>
        <v>0</v>
      </c>
      <c r="F58" s="7" t="n">
        <f aca="false">IF($C58="Residential",1,0)</f>
        <v>0</v>
      </c>
    </row>
    <row r="59" customFormat="false" ht="15" hidden="false" customHeight="false" outlineLevel="0" collapsed="false">
      <c r="A59" s="6" t="str">
        <f aca="false">Sheet2_Cleaned_Data!A59</f>
        <v>STR-1014</v>
      </c>
      <c r="B59" s="6" t="str">
        <f aca="false">Sheet2_Cleaned_Data!B59</f>
        <v>2025-03-01</v>
      </c>
      <c r="C59" s="6" t="str">
        <f aca="false">Sheet2_Cleaned_Data!D59</f>
        <v>High Street</v>
      </c>
      <c r="D59" s="7" t="n">
        <f aca="false">IF($C59="Airport",1,0)</f>
        <v>0</v>
      </c>
      <c r="E59" s="7" t="n">
        <f aca="false">IF($C59="Mall",1,0)</f>
        <v>0</v>
      </c>
      <c r="F59" s="7" t="n">
        <f aca="false">IF($C59="Residential",1,0)</f>
        <v>0</v>
      </c>
    </row>
    <row r="60" customFormat="false" ht="15" hidden="false" customHeight="false" outlineLevel="0" collapsed="false">
      <c r="A60" s="6" t="str">
        <f aca="false">Sheet2_Cleaned_Data!A60</f>
        <v>STR-1014</v>
      </c>
      <c r="B60" s="6" t="str">
        <f aca="false">Sheet2_Cleaned_Data!B60</f>
        <v>2025-04-01</v>
      </c>
      <c r="C60" s="6" t="str">
        <f aca="false">Sheet2_Cleaned_Data!D60</f>
        <v>High Street</v>
      </c>
      <c r="D60" s="7" t="n">
        <f aca="false">IF($C60="Airport",1,0)</f>
        <v>0</v>
      </c>
      <c r="E60" s="7" t="n">
        <f aca="false">IF($C60="Mall",1,0)</f>
        <v>0</v>
      </c>
      <c r="F60" s="7" t="n">
        <f aca="false">IF($C60="Residential",1,0)</f>
        <v>0</v>
      </c>
    </row>
    <row r="61" customFormat="false" ht="15" hidden="false" customHeight="false" outlineLevel="0" collapsed="false">
      <c r="A61" s="6" t="str">
        <f aca="false">Sheet2_Cleaned_Data!A61</f>
        <v>STR-1015</v>
      </c>
      <c r="B61" s="6" t="str">
        <f aca="false">Sheet2_Cleaned_Data!B61</f>
        <v>2025-01-01</v>
      </c>
      <c r="C61" s="6" t="str">
        <f aca="false">Sheet2_Cleaned_Data!D61</f>
        <v>Airport</v>
      </c>
      <c r="D61" s="7" t="n">
        <f aca="false">IF($C61="Airport",1,0)</f>
        <v>1</v>
      </c>
      <c r="E61" s="7" t="n">
        <f aca="false">IF($C61="Mall",1,0)</f>
        <v>0</v>
      </c>
      <c r="F61" s="7" t="n">
        <f aca="false">IF($C61="Residential",1,0)</f>
        <v>0</v>
      </c>
    </row>
    <row r="62" customFormat="false" ht="15" hidden="false" customHeight="false" outlineLevel="0" collapsed="false">
      <c r="A62" s="6" t="str">
        <f aca="false">Sheet2_Cleaned_Data!A62</f>
        <v>STR-1015</v>
      </c>
      <c r="B62" s="6" t="str">
        <f aca="false">Sheet2_Cleaned_Data!B62</f>
        <v>2025-02-01</v>
      </c>
      <c r="C62" s="6" t="str">
        <f aca="false">Sheet2_Cleaned_Data!D62</f>
        <v>Airport</v>
      </c>
      <c r="D62" s="7" t="n">
        <f aca="false">IF($C62="Airport",1,0)</f>
        <v>1</v>
      </c>
      <c r="E62" s="7" t="n">
        <f aca="false">IF($C62="Mall",1,0)</f>
        <v>0</v>
      </c>
      <c r="F62" s="7" t="n">
        <f aca="false">IF($C62="Residential",1,0)</f>
        <v>0</v>
      </c>
    </row>
    <row r="63" customFormat="false" ht="15" hidden="false" customHeight="false" outlineLevel="0" collapsed="false">
      <c r="A63" s="6" t="str">
        <f aca="false">Sheet2_Cleaned_Data!A63</f>
        <v>STR-1015</v>
      </c>
      <c r="B63" s="6" t="str">
        <f aca="false">Sheet2_Cleaned_Data!B63</f>
        <v>2025-03-01</v>
      </c>
      <c r="C63" s="6" t="str">
        <f aca="false">Sheet2_Cleaned_Data!D63</f>
        <v>Airport</v>
      </c>
      <c r="D63" s="7" t="n">
        <f aca="false">IF($C63="Airport",1,0)</f>
        <v>1</v>
      </c>
      <c r="E63" s="7" t="n">
        <f aca="false">IF($C63="Mall",1,0)</f>
        <v>0</v>
      </c>
      <c r="F63" s="7" t="n">
        <f aca="false">IF($C63="Residential",1,0)</f>
        <v>0</v>
      </c>
    </row>
    <row r="64" customFormat="false" ht="15" hidden="false" customHeight="false" outlineLevel="0" collapsed="false">
      <c r="A64" s="6" t="str">
        <f aca="false">Sheet2_Cleaned_Data!A64</f>
        <v>STR-1015</v>
      </c>
      <c r="B64" s="6" t="str">
        <f aca="false">Sheet2_Cleaned_Data!B64</f>
        <v>2025-04-01</v>
      </c>
      <c r="C64" s="6" t="str">
        <f aca="false">Sheet2_Cleaned_Data!D64</f>
        <v>Airport</v>
      </c>
      <c r="D64" s="7" t="n">
        <f aca="false">IF($C64="Airport",1,0)</f>
        <v>1</v>
      </c>
      <c r="E64" s="7" t="n">
        <f aca="false">IF($C64="Mall",1,0)</f>
        <v>0</v>
      </c>
      <c r="F64" s="7" t="n">
        <f aca="false">IF($C64="Residential",1,0)</f>
        <v>0</v>
      </c>
    </row>
    <row r="65" customFormat="false" ht="15" hidden="false" customHeight="false" outlineLevel="0" collapsed="false">
      <c r="A65" s="6" t="str">
        <f aca="false">Sheet2_Cleaned_Data!A65</f>
        <v>STR-1016</v>
      </c>
      <c r="B65" s="6" t="str">
        <f aca="false">Sheet2_Cleaned_Data!B65</f>
        <v>2025-01-01</v>
      </c>
      <c r="C65" s="6" t="str">
        <f aca="false">Sheet2_Cleaned_Data!D65</f>
        <v>High Street</v>
      </c>
      <c r="D65" s="7" t="n">
        <f aca="false">IF($C65="Airport",1,0)</f>
        <v>0</v>
      </c>
      <c r="E65" s="7" t="n">
        <f aca="false">IF($C65="Mall",1,0)</f>
        <v>0</v>
      </c>
      <c r="F65" s="7" t="n">
        <f aca="false">IF($C65="Residential",1,0)</f>
        <v>0</v>
      </c>
    </row>
    <row r="66" customFormat="false" ht="15" hidden="false" customHeight="false" outlineLevel="0" collapsed="false">
      <c r="A66" s="6" t="str">
        <f aca="false">Sheet2_Cleaned_Data!A66</f>
        <v>STR-1016</v>
      </c>
      <c r="B66" s="6" t="str">
        <f aca="false">Sheet2_Cleaned_Data!B66</f>
        <v>2025-02-01</v>
      </c>
      <c r="C66" s="6" t="str">
        <f aca="false">Sheet2_Cleaned_Data!D66</f>
        <v>High Street</v>
      </c>
      <c r="D66" s="7" t="n">
        <f aca="false">IF($C66="Airport",1,0)</f>
        <v>0</v>
      </c>
      <c r="E66" s="7" t="n">
        <f aca="false">IF($C66="Mall",1,0)</f>
        <v>0</v>
      </c>
      <c r="F66" s="7" t="n">
        <f aca="false">IF($C66="Residential",1,0)</f>
        <v>0</v>
      </c>
    </row>
    <row r="67" customFormat="false" ht="15" hidden="false" customHeight="false" outlineLevel="0" collapsed="false">
      <c r="A67" s="6" t="str">
        <f aca="false">Sheet2_Cleaned_Data!A67</f>
        <v>STR-1016</v>
      </c>
      <c r="B67" s="6" t="str">
        <f aca="false">Sheet2_Cleaned_Data!B67</f>
        <v>2025-03-01</v>
      </c>
      <c r="C67" s="6" t="str">
        <f aca="false">Sheet2_Cleaned_Data!D67</f>
        <v>High Street</v>
      </c>
      <c r="D67" s="7" t="n">
        <f aca="false">IF($C67="Airport",1,0)</f>
        <v>0</v>
      </c>
      <c r="E67" s="7" t="n">
        <f aca="false">IF($C67="Mall",1,0)</f>
        <v>0</v>
      </c>
      <c r="F67" s="7" t="n">
        <f aca="false">IF($C67="Residential",1,0)</f>
        <v>0</v>
      </c>
    </row>
    <row r="68" customFormat="false" ht="15" hidden="false" customHeight="false" outlineLevel="0" collapsed="false">
      <c r="A68" s="6" t="str">
        <f aca="false">Sheet2_Cleaned_Data!A68</f>
        <v>STR-1016</v>
      </c>
      <c r="B68" s="6" t="str">
        <f aca="false">Sheet2_Cleaned_Data!B68</f>
        <v>2025-04-01</v>
      </c>
      <c r="C68" s="6" t="str">
        <f aca="false">Sheet2_Cleaned_Data!D68</f>
        <v>High Street</v>
      </c>
      <c r="D68" s="7" t="n">
        <f aca="false">IF($C68="Airport",1,0)</f>
        <v>0</v>
      </c>
      <c r="E68" s="7" t="n">
        <f aca="false">IF($C68="Mall",1,0)</f>
        <v>0</v>
      </c>
      <c r="F68" s="7" t="n">
        <f aca="false">IF($C68="Residential",1,0)</f>
        <v>0</v>
      </c>
    </row>
    <row r="69" customFormat="false" ht="15" hidden="false" customHeight="false" outlineLevel="0" collapsed="false">
      <c r="A69" s="6" t="str">
        <f aca="false">Sheet2_Cleaned_Data!A69</f>
        <v>STR-1017</v>
      </c>
      <c r="B69" s="6" t="str">
        <f aca="false">Sheet2_Cleaned_Data!B69</f>
        <v>2025-01-01</v>
      </c>
      <c r="C69" s="6" t="str">
        <f aca="false">Sheet2_Cleaned_Data!D69</f>
        <v>High Street</v>
      </c>
      <c r="D69" s="7" t="n">
        <f aca="false">IF($C69="Airport",1,0)</f>
        <v>0</v>
      </c>
      <c r="E69" s="7" t="n">
        <f aca="false">IF($C69="Mall",1,0)</f>
        <v>0</v>
      </c>
      <c r="F69" s="7" t="n">
        <f aca="false">IF($C69="Residential",1,0)</f>
        <v>0</v>
      </c>
    </row>
    <row r="70" customFormat="false" ht="15" hidden="false" customHeight="false" outlineLevel="0" collapsed="false">
      <c r="A70" s="6" t="str">
        <f aca="false">Sheet2_Cleaned_Data!A70</f>
        <v>STR-1017</v>
      </c>
      <c r="B70" s="6" t="str">
        <f aca="false">Sheet2_Cleaned_Data!B70</f>
        <v>2025-02-01</v>
      </c>
      <c r="C70" s="6" t="str">
        <f aca="false">Sheet2_Cleaned_Data!D70</f>
        <v>High Street</v>
      </c>
      <c r="D70" s="7" t="n">
        <f aca="false">IF($C70="Airport",1,0)</f>
        <v>0</v>
      </c>
      <c r="E70" s="7" t="n">
        <f aca="false">IF($C70="Mall",1,0)</f>
        <v>0</v>
      </c>
      <c r="F70" s="7" t="n">
        <f aca="false">IF($C70="Residential",1,0)</f>
        <v>0</v>
      </c>
    </row>
    <row r="71" customFormat="false" ht="15" hidden="false" customHeight="false" outlineLevel="0" collapsed="false">
      <c r="A71" s="6" t="str">
        <f aca="false">Sheet2_Cleaned_Data!A71</f>
        <v>STR-1017</v>
      </c>
      <c r="B71" s="6" t="str">
        <f aca="false">Sheet2_Cleaned_Data!B71</f>
        <v>2025-03-01</v>
      </c>
      <c r="C71" s="6" t="str">
        <f aca="false">Sheet2_Cleaned_Data!D71</f>
        <v>High Street</v>
      </c>
      <c r="D71" s="7" t="n">
        <f aca="false">IF($C71="Airport",1,0)</f>
        <v>0</v>
      </c>
      <c r="E71" s="7" t="n">
        <f aca="false">IF($C71="Mall",1,0)</f>
        <v>0</v>
      </c>
      <c r="F71" s="7" t="n">
        <f aca="false">IF($C71="Residential",1,0)</f>
        <v>0</v>
      </c>
    </row>
    <row r="72" customFormat="false" ht="15" hidden="false" customHeight="false" outlineLevel="0" collapsed="false">
      <c r="A72" s="6" t="str">
        <f aca="false">Sheet2_Cleaned_Data!A72</f>
        <v>STR-1017</v>
      </c>
      <c r="B72" s="6" t="str">
        <f aca="false">Sheet2_Cleaned_Data!B72</f>
        <v>2025-04-01</v>
      </c>
      <c r="C72" s="6" t="str">
        <f aca="false">Sheet2_Cleaned_Data!D72</f>
        <v>High Street</v>
      </c>
      <c r="D72" s="7" t="n">
        <f aca="false">IF($C72="Airport",1,0)</f>
        <v>0</v>
      </c>
      <c r="E72" s="7" t="n">
        <f aca="false">IF($C72="Mall",1,0)</f>
        <v>0</v>
      </c>
      <c r="F72" s="7" t="n">
        <f aca="false">IF($C72="Residential",1,0)</f>
        <v>0</v>
      </c>
    </row>
    <row r="73" customFormat="false" ht="15" hidden="false" customHeight="false" outlineLevel="0" collapsed="false">
      <c r="A73" s="6" t="str">
        <f aca="false">Sheet2_Cleaned_Data!A73</f>
        <v>STR-1018</v>
      </c>
      <c r="B73" s="6" t="str">
        <f aca="false">Sheet2_Cleaned_Data!B73</f>
        <v>2025-01-01</v>
      </c>
      <c r="C73" s="6" t="str">
        <f aca="false">Sheet2_Cleaned_Data!D73</f>
        <v>High Street</v>
      </c>
      <c r="D73" s="7" t="n">
        <f aca="false">IF($C73="Airport",1,0)</f>
        <v>0</v>
      </c>
      <c r="E73" s="7" t="n">
        <f aca="false">IF($C73="Mall",1,0)</f>
        <v>0</v>
      </c>
      <c r="F73" s="7" t="n">
        <f aca="false">IF($C73="Residential",1,0)</f>
        <v>0</v>
      </c>
    </row>
    <row r="74" customFormat="false" ht="15" hidden="false" customHeight="false" outlineLevel="0" collapsed="false">
      <c r="A74" s="6" t="str">
        <f aca="false">Sheet2_Cleaned_Data!A74</f>
        <v>STR-1018</v>
      </c>
      <c r="B74" s="6" t="str">
        <f aca="false">Sheet2_Cleaned_Data!B74</f>
        <v>2025-02-01</v>
      </c>
      <c r="C74" s="6" t="str">
        <f aca="false">Sheet2_Cleaned_Data!D74</f>
        <v>High Street</v>
      </c>
      <c r="D74" s="7" t="n">
        <f aca="false">IF($C74="Airport",1,0)</f>
        <v>0</v>
      </c>
      <c r="E74" s="7" t="n">
        <f aca="false">IF($C74="Mall",1,0)</f>
        <v>0</v>
      </c>
      <c r="F74" s="7" t="n">
        <f aca="false">IF($C74="Residential",1,0)</f>
        <v>0</v>
      </c>
    </row>
    <row r="75" customFormat="false" ht="15" hidden="false" customHeight="false" outlineLevel="0" collapsed="false">
      <c r="A75" s="6" t="str">
        <f aca="false">Sheet2_Cleaned_Data!A75</f>
        <v>STR-1018</v>
      </c>
      <c r="B75" s="6" t="str">
        <f aca="false">Sheet2_Cleaned_Data!B75</f>
        <v>2025-03-01</v>
      </c>
      <c r="C75" s="6" t="str">
        <f aca="false">Sheet2_Cleaned_Data!D75</f>
        <v>High Street</v>
      </c>
      <c r="D75" s="7" t="n">
        <f aca="false">IF($C75="Airport",1,0)</f>
        <v>0</v>
      </c>
      <c r="E75" s="7" t="n">
        <f aca="false">IF($C75="Mall",1,0)</f>
        <v>0</v>
      </c>
      <c r="F75" s="7" t="n">
        <f aca="false">IF($C75="Residential",1,0)</f>
        <v>0</v>
      </c>
    </row>
    <row r="76" customFormat="false" ht="15" hidden="false" customHeight="false" outlineLevel="0" collapsed="false">
      <c r="A76" s="6" t="str">
        <f aca="false">Sheet2_Cleaned_Data!A76</f>
        <v>STR-1018</v>
      </c>
      <c r="B76" s="6" t="str">
        <f aca="false">Sheet2_Cleaned_Data!B76</f>
        <v>2025-04-01</v>
      </c>
      <c r="C76" s="6" t="str">
        <f aca="false">Sheet2_Cleaned_Data!D76</f>
        <v>High Street</v>
      </c>
      <c r="D76" s="7" t="n">
        <f aca="false">IF($C76="Airport",1,0)</f>
        <v>0</v>
      </c>
      <c r="E76" s="7" t="n">
        <f aca="false">IF($C76="Mall",1,0)</f>
        <v>0</v>
      </c>
      <c r="F76" s="7" t="n">
        <f aca="false">IF($C76="Residential",1,0)</f>
        <v>0</v>
      </c>
    </row>
    <row r="77" customFormat="false" ht="15" hidden="false" customHeight="false" outlineLevel="0" collapsed="false">
      <c r="A77" s="6" t="str">
        <f aca="false">Sheet2_Cleaned_Data!A77</f>
        <v>STR-1019</v>
      </c>
      <c r="B77" s="6" t="str">
        <f aca="false">Sheet2_Cleaned_Data!B77</f>
        <v>2025-01-01</v>
      </c>
      <c r="C77" s="6" t="str">
        <f aca="false">Sheet2_Cleaned_Data!D77</f>
        <v>Residential</v>
      </c>
      <c r="D77" s="7" t="n">
        <f aca="false">IF($C77="Airport",1,0)</f>
        <v>0</v>
      </c>
      <c r="E77" s="7" t="n">
        <f aca="false">IF($C77="Mall",1,0)</f>
        <v>0</v>
      </c>
      <c r="F77" s="7" t="n">
        <f aca="false">IF($C77="Residential",1,0)</f>
        <v>1</v>
      </c>
    </row>
    <row r="78" customFormat="false" ht="15" hidden="false" customHeight="false" outlineLevel="0" collapsed="false">
      <c r="A78" s="6" t="str">
        <f aca="false">Sheet2_Cleaned_Data!A78</f>
        <v>STR-1019</v>
      </c>
      <c r="B78" s="6" t="str">
        <f aca="false">Sheet2_Cleaned_Data!B78</f>
        <v>2025-02-01</v>
      </c>
      <c r="C78" s="6" t="str">
        <f aca="false">Sheet2_Cleaned_Data!D78</f>
        <v>Residential</v>
      </c>
      <c r="D78" s="7" t="n">
        <f aca="false">IF($C78="Airport",1,0)</f>
        <v>0</v>
      </c>
      <c r="E78" s="7" t="n">
        <f aca="false">IF($C78="Mall",1,0)</f>
        <v>0</v>
      </c>
      <c r="F78" s="7" t="n">
        <f aca="false">IF($C78="Residential",1,0)</f>
        <v>1</v>
      </c>
    </row>
    <row r="79" customFormat="false" ht="15" hidden="false" customHeight="false" outlineLevel="0" collapsed="false">
      <c r="A79" s="6" t="str">
        <f aca="false">Sheet2_Cleaned_Data!A79</f>
        <v>STR-1019</v>
      </c>
      <c r="B79" s="6" t="str">
        <f aca="false">Sheet2_Cleaned_Data!B79</f>
        <v>2025-03-01</v>
      </c>
      <c r="C79" s="6" t="str">
        <f aca="false">Sheet2_Cleaned_Data!D79</f>
        <v>Residential</v>
      </c>
      <c r="D79" s="7" t="n">
        <f aca="false">IF($C79="Airport",1,0)</f>
        <v>0</v>
      </c>
      <c r="E79" s="7" t="n">
        <f aca="false">IF($C79="Mall",1,0)</f>
        <v>0</v>
      </c>
      <c r="F79" s="7" t="n">
        <f aca="false">IF($C79="Residential",1,0)</f>
        <v>1</v>
      </c>
    </row>
    <row r="80" customFormat="false" ht="15" hidden="false" customHeight="false" outlineLevel="0" collapsed="false">
      <c r="A80" s="6" t="str">
        <f aca="false">Sheet2_Cleaned_Data!A80</f>
        <v>STR-1019</v>
      </c>
      <c r="B80" s="6" t="str">
        <f aca="false">Sheet2_Cleaned_Data!B80</f>
        <v>2025-04-01</v>
      </c>
      <c r="C80" s="6" t="str">
        <f aca="false">Sheet2_Cleaned_Data!D80</f>
        <v>Residential</v>
      </c>
      <c r="D80" s="7" t="n">
        <f aca="false">IF($C80="Airport",1,0)</f>
        <v>0</v>
      </c>
      <c r="E80" s="7" t="n">
        <f aca="false">IF($C80="Mall",1,0)</f>
        <v>0</v>
      </c>
      <c r="F80" s="7" t="n">
        <f aca="false">IF($C80="Residential",1,0)</f>
        <v>1</v>
      </c>
    </row>
    <row r="81" customFormat="false" ht="15" hidden="false" customHeight="false" outlineLevel="0" collapsed="false">
      <c r="A81" s="6" t="str">
        <f aca="false">Sheet2_Cleaned_Data!A81</f>
        <v>STR-1020</v>
      </c>
      <c r="B81" s="6" t="str">
        <f aca="false">Sheet2_Cleaned_Data!B81</f>
        <v>2025-01-01</v>
      </c>
      <c r="C81" s="6" t="str">
        <f aca="false">Sheet2_Cleaned_Data!D81</f>
        <v>High Street</v>
      </c>
      <c r="D81" s="7" t="n">
        <f aca="false">IF($C81="Airport",1,0)</f>
        <v>0</v>
      </c>
      <c r="E81" s="7" t="n">
        <f aca="false">IF($C81="Mall",1,0)</f>
        <v>0</v>
      </c>
      <c r="F81" s="7" t="n">
        <f aca="false">IF($C81="Residential",1,0)</f>
        <v>0</v>
      </c>
    </row>
    <row r="82" customFormat="false" ht="15" hidden="false" customHeight="false" outlineLevel="0" collapsed="false">
      <c r="A82" s="6" t="str">
        <f aca="false">Sheet2_Cleaned_Data!A82</f>
        <v>STR-1020</v>
      </c>
      <c r="B82" s="6" t="str">
        <f aca="false">Sheet2_Cleaned_Data!B82</f>
        <v>2025-02-01</v>
      </c>
      <c r="C82" s="6" t="str">
        <f aca="false">Sheet2_Cleaned_Data!D82</f>
        <v>High Street</v>
      </c>
      <c r="D82" s="7" t="n">
        <f aca="false">IF($C82="Airport",1,0)</f>
        <v>0</v>
      </c>
      <c r="E82" s="7" t="n">
        <f aca="false">IF($C82="Mall",1,0)</f>
        <v>0</v>
      </c>
      <c r="F82" s="7" t="n">
        <f aca="false">IF($C82="Residential",1,0)</f>
        <v>0</v>
      </c>
    </row>
    <row r="83" customFormat="false" ht="15" hidden="false" customHeight="false" outlineLevel="0" collapsed="false">
      <c r="A83" s="6" t="str">
        <f aca="false">Sheet2_Cleaned_Data!A83</f>
        <v>STR-1020</v>
      </c>
      <c r="B83" s="6" t="str">
        <f aca="false">Sheet2_Cleaned_Data!B83</f>
        <v>2025-03-01</v>
      </c>
      <c r="C83" s="6" t="str">
        <f aca="false">Sheet2_Cleaned_Data!D83</f>
        <v>High Street</v>
      </c>
      <c r="D83" s="7" t="n">
        <f aca="false">IF($C83="Airport",1,0)</f>
        <v>0</v>
      </c>
      <c r="E83" s="7" t="n">
        <f aca="false">IF($C83="Mall",1,0)</f>
        <v>0</v>
      </c>
      <c r="F83" s="7" t="n">
        <f aca="false">IF($C83="Residential",1,0)</f>
        <v>0</v>
      </c>
    </row>
    <row r="84" customFormat="false" ht="15" hidden="false" customHeight="false" outlineLevel="0" collapsed="false">
      <c r="A84" s="6" t="str">
        <f aca="false">Sheet2_Cleaned_Data!A84</f>
        <v>STR-1020</v>
      </c>
      <c r="B84" s="6" t="str">
        <f aca="false">Sheet2_Cleaned_Data!B84</f>
        <v>2025-04-01</v>
      </c>
      <c r="C84" s="6" t="str">
        <f aca="false">Sheet2_Cleaned_Data!D84</f>
        <v>High Street</v>
      </c>
      <c r="D84" s="7" t="n">
        <f aca="false">IF($C84="Airport",1,0)</f>
        <v>0</v>
      </c>
      <c r="E84" s="7" t="n">
        <f aca="false">IF($C84="Mall",1,0)</f>
        <v>0</v>
      </c>
      <c r="F84" s="7" t="n">
        <f aca="false">IF($C84="Residential",1,0)</f>
        <v>0</v>
      </c>
    </row>
    <row r="85" customFormat="false" ht="15" hidden="false" customHeight="false" outlineLevel="0" collapsed="false">
      <c r="A85" s="6" t="str">
        <f aca="false">Sheet2_Cleaned_Data!A85</f>
        <v>STR-1021</v>
      </c>
      <c r="B85" s="6" t="str">
        <f aca="false">Sheet2_Cleaned_Data!B85</f>
        <v>2025-01-01</v>
      </c>
      <c r="C85" s="6" t="str">
        <f aca="false">Sheet2_Cleaned_Data!D85</f>
        <v>Mall</v>
      </c>
      <c r="D85" s="7" t="n">
        <f aca="false">IF($C85="Airport",1,0)</f>
        <v>0</v>
      </c>
      <c r="E85" s="7" t="n">
        <f aca="false">IF($C85="Mall",1,0)</f>
        <v>1</v>
      </c>
      <c r="F85" s="7" t="n">
        <f aca="false">IF($C85="Residential",1,0)</f>
        <v>0</v>
      </c>
    </row>
    <row r="86" customFormat="false" ht="15" hidden="false" customHeight="false" outlineLevel="0" collapsed="false">
      <c r="A86" s="6" t="str">
        <f aca="false">Sheet2_Cleaned_Data!A86</f>
        <v>STR-1021</v>
      </c>
      <c r="B86" s="6" t="str">
        <f aca="false">Sheet2_Cleaned_Data!B86</f>
        <v>2025-02-01</v>
      </c>
      <c r="C86" s="6" t="str">
        <f aca="false">Sheet2_Cleaned_Data!D86</f>
        <v>Mall</v>
      </c>
      <c r="D86" s="7" t="n">
        <f aca="false">IF($C86="Airport",1,0)</f>
        <v>0</v>
      </c>
      <c r="E86" s="7" t="n">
        <f aca="false">IF($C86="Mall",1,0)</f>
        <v>1</v>
      </c>
      <c r="F86" s="7" t="n">
        <f aca="false">IF($C86="Residential",1,0)</f>
        <v>0</v>
      </c>
    </row>
    <row r="87" customFormat="false" ht="15" hidden="false" customHeight="false" outlineLevel="0" collapsed="false">
      <c r="A87" s="6" t="str">
        <f aca="false">Sheet2_Cleaned_Data!A87</f>
        <v>STR-1021</v>
      </c>
      <c r="B87" s="6" t="str">
        <f aca="false">Sheet2_Cleaned_Data!B87</f>
        <v>2025-03-01</v>
      </c>
      <c r="C87" s="6" t="str">
        <f aca="false">Sheet2_Cleaned_Data!D87</f>
        <v>Mall</v>
      </c>
      <c r="D87" s="7" t="n">
        <f aca="false">IF($C87="Airport",1,0)</f>
        <v>0</v>
      </c>
      <c r="E87" s="7" t="n">
        <f aca="false">IF($C87="Mall",1,0)</f>
        <v>1</v>
      </c>
      <c r="F87" s="7" t="n">
        <f aca="false">IF($C87="Residential",1,0)</f>
        <v>0</v>
      </c>
    </row>
    <row r="88" customFormat="false" ht="15" hidden="false" customHeight="false" outlineLevel="0" collapsed="false">
      <c r="A88" s="6" t="str">
        <f aca="false">Sheet2_Cleaned_Data!A88</f>
        <v>STR-1021</v>
      </c>
      <c r="B88" s="6" t="str">
        <f aca="false">Sheet2_Cleaned_Data!B88</f>
        <v>2025-04-01</v>
      </c>
      <c r="C88" s="6" t="str">
        <f aca="false">Sheet2_Cleaned_Data!D88</f>
        <v>Mall</v>
      </c>
      <c r="D88" s="7" t="n">
        <f aca="false">IF($C88="Airport",1,0)</f>
        <v>0</v>
      </c>
      <c r="E88" s="7" t="n">
        <f aca="false">IF($C88="Mall",1,0)</f>
        <v>1</v>
      </c>
      <c r="F88" s="7" t="n">
        <f aca="false">IF($C88="Residential",1,0)</f>
        <v>0</v>
      </c>
    </row>
    <row r="89" customFormat="false" ht="15" hidden="false" customHeight="false" outlineLevel="0" collapsed="false">
      <c r="A89" s="6" t="str">
        <f aca="false">Sheet2_Cleaned_Data!A89</f>
        <v>STR-1022</v>
      </c>
      <c r="B89" s="6" t="str">
        <f aca="false">Sheet2_Cleaned_Data!B89</f>
        <v>2025-01-01</v>
      </c>
      <c r="C89" s="6" t="str">
        <f aca="false">Sheet2_Cleaned_Data!D89</f>
        <v>High Street</v>
      </c>
      <c r="D89" s="7" t="n">
        <f aca="false">IF($C89="Airport",1,0)</f>
        <v>0</v>
      </c>
      <c r="E89" s="7" t="n">
        <f aca="false">IF($C89="Mall",1,0)</f>
        <v>0</v>
      </c>
      <c r="F89" s="7" t="n">
        <f aca="false">IF($C89="Residential",1,0)</f>
        <v>0</v>
      </c>
    </row>
    <row r="90" customFormat="false" ht="15" hidden="false" customHeight="false" outlineLevel="0" collapsed="false">
      <c r="A90" s="6" t="str">
        <f aca="false">Sheet2_Cleaned_Data!A90</f>
        <v>STR-1022</v>
      </c>
      <c r="B90" s="6" t="str">
        <f aca="false">Sheet2_Cleaned_Data!B90</f>
        <v>2025-02-01</v>
      </c>
      <c r="C90" s="6" t="str">
        <f aca="false">Sheet2_Cleaned_Data!D90</f>
        <v>High Street</v>
      </c>
      <c r="D90" s="7" t="n">
        <f aca="false">IF($C90="Airport",1,0)</f>
        <v>0</v>
      </c>
      <c r="E90" s="7" t="n">
        <f aca="false">IF($C90="Mall",1,0)</f>
        <v>0</v>
      </c>
      <c r="F90" s="7" t="n">
        <f aca="false">IF($C90="Residential",1,0)</f>
        <v>0</v>
      </c>
    </row>
    <row r="91" customFormat="false" ht="15" hidden="false" customHeight="false" outlineLevel="0" collapsed="false">
      <c r="A91" s="6" t="str">
        <f aca="false">Sheet2_Cleaned_Data!A91</f>
        <v>STR-1022</v>
      </c>
      <c r="B91" s="6" t="str">
        <f aca="false">Sheet2_Cleaned_Data!B91</f>
        <v>2025-03-01</v>
      </c>
      <c r="C91" s="6" t="str">
        <f aca="false">Sheet2_Cleaned_Data!D91</f>
        <v>High Street</v>
      </c>
      <c r="D91" s="7" t="n">
        <f aca="false">IF($C91="Airport",1,0)</f>
        <v>0</v>
      </c>
      <c r="E91" s="7" t="n">
        <f aca="false">IF($C91="Mall",1,0)</f>
        <v>0</v>
      </c>
      <c r="F91" s="7" t="n">
        <f aca="false">IF($C91="Residential",1,0)</f>
        <v>0</v>
      </c>
    </row>
    <row r="92" customFormat="false" ht="15" hidden="false" customHeight="false" outlineLevel="0" collapsed="false">
      <c r="A92" s="6" t="str">
        <f aca="false">Sheet2_Cleaned_Data!A92</f>
        <v>STR-1022</v>
      </c>
      <c r="B92" s="6" t="str">
        <f aca="false">Sheet2_Cleaned_Data!B92</f>
        <v>2025-04-01</v>
      </c>
      <c r="C92" s="6" t="str">
        <f aca="false">Sheet2_Cleaned_Data!D92</f>
        <v>High Street</v>
      </c>
      <c r="D92" s="7" t="n">
        <f aca="false">IF($C92="Airport",1,0)</f>
        <v>0</v>
      </c>
      <c r="E92" s="7" t="n">
        <f aca="false">IF($C92="Mall",1,0)</f>
        <v>0</v>
      </c>
      <c r="F92" s="7" t="n">
        <f aca="false">IF($C92="Residential",1,0)</f>
        <v>0</v>
      </c>
    </row>
    <row r="93" customFormat="false" ht="15" hidden="false" customHeight="false" outlineLevel="0" collapsed="false">
      <c r="A93" s="6" t="str">
        <f aca="false">Sheet2_Cleaned_Data!A93</f>
        <v>STR-1023</v>
      </c>
      <c r="B93" s="6" t="str">
        <f aca="false">Sheet2_Cleaned_Data!B93</f>
        <v>2025-01-01</v>
      </c>
      <c r="C93" s="6" t="str">
        <f aca="false">Sheet2_Cleaned_Data!D93</f>
        <v>Mall</v>
      </c>
      <c r="D93" s="7" t="n">
        <f aca="false">IF($C93="Airport",1,0)</f>
        <v>0</v>
      </c>
      <c r="E93" s="7" t="n">
        <f aca="false">IF($C93="Mall",1,0)</f>
        <v>1</v>
      </c>
      <c r="F93" s="7" t="n">
        <f aca="false">IF($C93="Residential",1,0)</f>
        <v>0</v>
      </c>
    </row>
    <row r="94" customFormat="false" ht="15" hidden="false" customHeight="false" outlineLevel="0" collapsed="false">
      <c r="A94" s="6" t="str">
        <f aca="false">Sheet2_Cleaned_Data!A94</f>
        <v>STR-1023</v>
      </c>
      <c r="B94" s="6" t="str">
        <f aca="false">Sheet2_Cleaned_Data!B94</f>
        <v>2025-02-01</v>
      </c>
      <c r="C94" s="6" t="str">
        <f aca="false">Sheet2_Cleaned_Data!D94</f>
        <v>Mall</v>
      </c>
      <c r="D94" s="7" t="n">
        <f aca="false">IF($C94="Airport",1,0)</f>
        <v>0</v>
      </c>
      <c r="E94" s="7" t="n">
        <f aca="false">IF($C94="Mall",1,0)</f>
        <v>1</v>
      </c>
      <c r="F94" s="7" t="n">
        <f aca="false">IF($C94="Residential",1,0)</f>
        <v>0</v>
      </c>
    </row>
    <row r="95" customFormat="false" ht="15" hidden="false" customHeight="false" outlineLevel="0" collapsed="false">
      <c r="A95" s="6" t="str">
        <f aca="false">Sheet2_Cleaned_Data!A95</f>
        <v>STR-1023</v>
      </c>
      <c r="B95" s="6" t="str">
        <f aca="false">Sheet2_Cleaned_Data!B95</f>
        <v>2025-03-01</v>
      </c>
      <c r="C95" s="6" t="str">
        <f aca="false">Sheet2_Cleaned_Data!D95</f>
        <v>Mall</v>
      </c>
      <c r="D95" s="7" t="n">
        <f aca="false">IF($C95="Airport",1,0)</f>
        <v>0</v>
      </c>
      <c r="E95" s="7" t="n">
        <f aca="false">IF($C95="Mall",1,0)</f>
        <v>1</v>
      </c>
      <c r="F95" s="7" t="n">
        <f aca="false">IF($C95="Residential",1,0)</f>
        <v>0</v>
      </c>
    </row>
    <row r="96" customFormat="false" ht="15" hidden="false" customHeight="false" outlineLevel="0" collapsed="false">
      <c r="A96" s="6" t="str">
        <f aca="false">Sheet2_Cleaned_Data!A96</f>
        <v>STR-1023</v>
      </c>
      <c r="B96" s="6" t="str">
        <f aca="false">Sheet2_Cleaned_Data!B96</f>
        <v>2025-04-01</v>
      </c>
      <c r="C96" s="6" t="str">
        <f aca="false">Sheet2_Cleaned_Data!D96</f>
        <v>Mall</v>
      </c>
      <c r="D96" s="7" t="n">
        <f aca="false">IF($C96="Airport",1,0)</f>
        <v>0</v>
      </c>
      <c r="E96" s="7" t="n">
        <f aca="false">IF($C96="Mall",1,0)</f>
        <v>1</v>
      </c>
      <c r="F96" s="7" t="n">
        <f aca="false">IF($C96="Residential",1,0)</f>
        <v>0</v>
      </c>
    </row>
    <row r="97" customFormat="false" ht="15" hidden="false" customHeight="false" outlineLevel="0" collapsed="false">
      <c r="A97" s="6" t="str">
        <f aca="false">Sheet2_Cleaned_Data!A97</f>
        <v>STR-1024</v>
      </c>
      <c r="B97" s="6" t="str">
        <f aca="false">Sheet2_Cleaned_Data!B97</f>
        <v>2025-01-01</v>
      </c>
      <c r="C97" s="6" t="str">
        <f aca="false">Sheet2_Cleaned_Data!D97</f>
        <v>Residential</v>
      </c>
      <c r="D97" s="7" t="n">
        <f aca="false">IF($C97="Airport",1,0)</f>
        <v>0</v>
      </c>
      <c r="E97" s="7" t="n">
        <f aca="false">IF($C97="Mall",1,0)</f>
        <v>0</v>
      </c>
      <c r="F97" s="7" t="n">
        <f aca="false">IF($C97="Residential",1,0)</f>
        <v>1</v>
      </c>
    </row>
    <row r="98" customFormat="false" ht="15" hidden="false" customHeight="false" outlineLevel="0" collapsed="false">
      <c r="A98" s="6" t="str">
        <f aca="false">Sheet2_Cleaned_Data!A98</f>
        <v>STR-1024</v>
      </c>
      <c r="B98" s="6" t="str">
        <f aca="false">Sheet2_Cleaned_Data!B98</f>
        <v>2025-02-01</v>
      </c>
      <c r="C98" s="6" t="str">
        <f aca="false">Sheet2_Cleaned_Data!D98</f>
        <v>Residential</v>
      </c>
      <c r="D98" s="7" t="n">
        <f aca="false">IF($C98="Airport",1,0)</f>
        <v>0</v>
      </c>
      <c r="E98" s="7" t="n">
        <f aca="false">IF($C98="Mall",1,0)</f>
        <v>0</v>
      </c>
      <c r="F98" s="7" t="n">
        <f aca="false">IF($C98="Residential",1,0)</f>
        <v>1</v>
      </c>
    </row>
    <row r="99" customFormat="false" ht="15" hidden="false" customHeight="false" outlineLevel="0" collapsed="false">
      <c r="A99" s="6" t="str">
        <f aca="false">Sheet2_Cleaned_Data!A99</f>
        <v>STR-1024</v>
      </c>
      <c r="B99" s="6" t="str">
        <f aca="false">Sheet2_Cleaned_Data!B99</f>
        <v>2025-03-01</v>
      </c>
      <c r="C99" s="6" t="str">
        <f aca="false">Sheet2_Cleaned_Data!D99</f>
        <v>Residential</v>
      </c>
      <c r="D99" s="7" t="n">
        <f aca="false">IF($C99="Airport",1,0)</f>
        <v>0</v>
      </c>
      <c r="E99" s="7" t="n">
        <f aca="false">IF($C99="Mall",1,0)</f>
        <v>0</v>
      </c>
      <c r="F99" s="7" t="n">
        <f aca="false">IF($C99="Residential",1,0)</f>
        <v>1</v>
      </c>
    </row>
    <row r="100" customFormat="false" ht="15" hidden="false" customHeight="false" outlineLevel="0" collapsed="false">
      <c r="A100" s="6" t="str">
        <f aca="false">Sheet2_Cleaned_Data!A100</f>
        <v>STR-1024</v>
      </c>
      <c r="B100" s="6" t="str">
        <f aca="false">Sheet2_Cleaned_Data!B100</f>
        <v>2025-04-01</v>
      </c>
      <c r="C100" s="6" t="str">
        <f aca="false">Sheet2_Cleaned_Data!D100</f>
        <v>Residential</v>
      </c>
      <c r="D100" s="7" t="n">
        <f aca="false">IF($C100="Airport",1,0)</f>
        <v>0</v>
      </c>
      <c r="E100" s="7" t="n">
        <f aca="false">IF($C100="Mall",1,0)</f>
        <v>0</v>
      </c>
      <c r="F100" s="7" t="n">
        <f aca="false">IF($C100="Residential",1,0)</f>
        <v>1</v>
      </c>
    </row>
    <row r="101" customFormat="false" ht="15" hidden="false" customHeight="false" outlineLevel="0" collapsed="false">
      <c r="A101" s="6" t="str">
        <f aca="false">Sheet2_Cleaned_Data!A101</f>
        <v>STR-1025</v>
      </c>
      <c r="B101" s="6" t="str">
        <f aca="false">Sheet2_Cleaned_Data!B101</f>
        <v>2025-01-01</v>
      </c>
      <c r="C101" s="6" t="str">
        <f aca="false">Sheet2_Cleaned_Data!D101</f>
        <v>Mall</v>
      </c>
      <c r="D101" s="7" t="n">
        <f aca="false">IF($C101="Airport",1,0)</f>
        <v>0</v>
      </c>
      <c r="E101" s="7" t="n">
        <f aca="false">IF($C101="Mall",1,0)</f>
        <v>1</v>
      </c>
      <c r="F101" s="7" t="n">
        <f aca="false">IF($C101="Residential",1,0)</f>
        <v>0</v>
      </c>
    </row>
    <row r="102" customFormat="false" ht="15" hidden="false" customHeight="false" outlineLevel="0" collapsed="false">
      <c r="A102" s="6" t="str">
        <f aca="false">Sheet2_Cleaned_Data!A102</f>
        <v>STR-1025</v>
      </c>
      <c r="B102" s="6" t="str">
        <f aca="false">Sheet2_Cleaned_Data!B102</f>
        <v>2025-02-01</v>
      </c>
      <c r="C102" s="6" t="str">
        <f aca="false">Sheet2_Cleaned_Data!D102</f>
        <v>Mall</v>
      </c>
      <c r="D102" s="7" t="n">
        <f aca="false">IF($C102="Airport",1,0)</f>
        <v>0</v>
      </c>
      <c r="E102" s="7" t="n">
        <f aca="false">IF($C102="Mall",1,0)</f>
        <v>1</v>
      </c>
      <c r="F102" s="7" t="n">
        <f aca="false">IF($C102="Residential",1,0)</f>
        <v>0</v>
      </c>
    </row>
    <row r="103" customFormat="false" ht="15" hidden="false" customHeight="false" outlineLevel="0" collapsed="false">
      <c r="A103" s="6" t="str">
        <f aca="false">Sheet2_Cleaned_Data!A103</f>
        <v>STR-1025</v>
      </c>
      <c r="B103" s="6" t="str">
        <f aca="false">Sheet2_Cleaned_Data!B103</f>
        <v>2025-03-01</v>
      </c>
      <c r="C103" s="6" t="str">
        <f aca="false">Sheet2_Cleaned_Data!D103</f>
        <v>Mall</v>
      </c>
      <c r="D103" s="7" t="n">
        <f aca="false">IF($C103="Airport",1,0)</f>
        <v>0</v>
      </c>
      <c r="E103" s="7" t="n">
        <f aca="false">IF($C103="Mall",1,0)</f>
        <v>1</v>
      </c>
      <c r="F103" s="7" t="n">
        <f aca="false">IF($C103="Residential",1,0)</f>
        <v>0</v>
      </c>
    </row>
    <row r="104" customFormat="false" ht="15" hidden="false" customHeight="false" outlineLevel="0" collapsed="false">
      <c r="A104" s="6" t="str">
        <f aca="false">Sheet2_Cleaned_Data!A104</f>
        <v>STR-1025</v>
      </c>
      <c r="B104" s="6" t="str">
        <f aca="false">Sheet2_Cleaned_Data!B104</f>
        <v>2025-04-01</v>
      </c>
      <c r="C104" s="6" t="str">
        <f aca="false">Sheet2_Cleaned_Data!D104</f>
        <v>Mall</v>
      </c>
      <c r="D104" s="7" t="n">
        <f aca="false">IF($C104="Airport",1,0)</f>
        <v>0</v>
      </c>
      <c r="E104" s="7" t="n">
        <f aca="false">IF($C104="Mall",1,0)</f>
        <v>1</v>
      </c>
      <c r="F104" s="7" t="n">
        <f aca="false">IF($C104="Residential",1,0)</f>
        <v>0</v>
      </c>
    </row>
    <row r="105" customFormat="false" ht="15" hidden="false" customHeight="false" outlineLevel="0" collapsed="false">
      <c r="A105" s="6" t="str">
        <f aca="false">Sheet2_Cleaned_Data!A105</f>
        <v>STR-1026</v>
      </c>
      <c r="B105" s="6" t="str">
        <f aca="false">Sheet2_Cleaned_Data!B105</f>
        <v>2025-01-01</v>
      </c>
      <c r="C105" s="6" t="str">
        <f aca="false">Sheet2_Cleaned_Data!D105</f>
        <v>Mall</v>
      </c>
      <c r="D105" s="7" t="n">
        <f aca="false">IF($C105="Airport",1,0)</f>
        <v>0</v>
      </c>
      <c r="E105" s="7" t="n">
        <f aca="false">IF($C105="Mall",1,0)</f>
        <v>1</v>
      </c>
      <c r="F105" s="7" t="n">
        <f aca="false">IF($C105="Residential",1,0)</f>
        <v>0</v>
      </c>
    </row>
    <row r="106" customFormat="false" ht="15" hidden="false" customHeight="false" outlineLevel="0" collapsed="false">
      <c r="A106" s="6" t="str">
        <f aca="false">Sheet2_Cleaned_Data!A106</f>
        <v>STR-1026</v>
      </c>
      <c r="B106" s="6" t="str">
        <f aca="false">Sheet2_Cleaned_Data!B106</f>
        <v>2025-02-01</v>
      </c>
      <c r="C106" s="6" t="str">
        <f aca="false">Sheet2_Cleaned_Data!D106</f>
        <v>Mall</v>
      </c>
      <c r="D106" s="7" t="n">
        <f aca="false">IF($C106="Airport",1,0)</f>
        <v>0</v>
      </c>
      <c r="E106" s="7" t="n">
        <f aca="false">IF($C106="Mall",1,0)</f>
        <v>1</v>
      </c>
      <c r="F106" s="7" t="n">
        <f aca="false">IF($C106="Residential",1,0)</f>
        <v>0</v>
      </c>
    </row>
    <row r="107" customFormat="false" ht="15" hidden="false" customHeight="false" outlineLevel="0" collapsed="false">
      <c r="A107" s="6" t="str">
        <f aca="false">Sheet2_Cleaned_Data!A107</f>
        <v>STR-1026</v>
      </c>
      <c r="B107" s="6" t="str">
        <f aca="false">Sheet2_Cleaned_Data!B107</f>
        <v>2025-03-01</v>
      </c>
      <c r="C107" s="6" t="str">
        <f aca="false">Sheet2_Cleaned_Data!D107</f>
        <v>Mall</v>
      </c>
      <c r="D107" s="7" t="n">
        <f aca="false">IF($C107="Airport",1,0)</f>
        <v>0</v>
      </c>
      <c r="E107" s="7" t="n">
        <f aca="false">IF($C107="Mall",1,0)</f>
        <v>1</v>
      </c>
      <c r="F107" s="7" t="n">
        <f aca="false">IF($C107="Residential",1,0)</f>
        <v>0</v>
      </c>
    </row>
    <row r="108" customFormat="false" ht="15" hidden="false" customHeight="false" outlineLevel="0" collapsed="false">
      <c r="A108" s="6" t="str">
        <f aca="false">Sheet2_Cleaned_Data!A108</f>
        <v>STR-1026</v>
      </c>
      <c r="B108" s="6" t="str">
        <f aca="false">Sheet2_Cleaned_Data!B108</f>
        <v>2025-04-01</v>
      </c>
      <c r="C108" s="6" t="str">
        <f aca="false">Sheet2_Cleaned_Data!D108</f>
        <v>Mall</v>
      </c>
      <c r="D108" s="7" t="n">
        <f aca="false">IF($C108="Airport",1,0)</f>
        <v>0</v>
      </c>
      <c r="E108" s="7" t="n">
        <f aca="false">IF($C108="Mall",1,0)</f>
        <v>1</v>
      </c>
      <c r="F108" s="7" t="n">
        <f aca="false">IF($C108="Residential",1,0)</f>
        <v>0</v>
      </c>
    </row>
    <row r="109" customFormat="false" ht="15" hidden="false" customHeight="false" outlineLevel="0" collapsed="false">
      <c r="A109" s="6" t="str">
        <f aca="false">Sheet2_Cleaned_Data!A109</f>
        <v>STR-1027</v>
      </c>
      <c r="B109" s="6" t="str">
        <f aca="false">Sheet2_Cleaned_Data!B109</f>
        <v>2025-01-01</v>
      </c>
      <c r="C109" s="6" t="str">
        <f aca="false">Sheet2_Cleaned_Data!D109</f>
        <v>High Street</v>
      </c>
      <c r="D109" s="7" t="n">
        <f aca="false">IF($C109="Airport",1,0)</f>
        <v>0</v>
      </c>
      <c r="E109" s="7" t="n">
        <f aca="false">IF($C109="Mall",1,0)</f>
        <v>0</v>
      </c>
      <c r="F109" s="7" t="n">
        <f aca="false">IF($C109="Residential",1,0)</f>
        <v>0</v>
      </c>
    </row>
    <row r="110" customFormat="false" ht="15" hidden="false" customHeight="false" outlineLevel="0" collapsed="false">
      <c r="A110" s="6" t="str">
        <f aca="false">Sheet2_Cleaned_Data!A110</f>
        <v>STR-1027</v>
      </c>
      <c r="B110" s="6" t="str">
        <f aca="false">Sheet2_Cleaned_Data!B110</f>
        <v>2025-02-01</v>
      </c>
      <c r="C110" s="6" t="str">
        <f aca="false">Sheet2_Cleaned_Data!D110</f>
        <v>High Street</v>
      </c>
      <c r="D110" s="7" t="n">
        <f aca="false">IF($C110="Airport",1,0)</f>
        <v>0</v>
      </c>
      <c r="E110" s="7" t="n">
        <f aca="false">IF($C110="Mall",1,0)</f>
        <v>0</v>
      </c>
      <c r="F110" s="7" t="n">
        <f aca="false">IF($C110="Residential",1,0)</f>
        <v>0</v>
      </c>
    </row>
    <row r="111" customFormat="false" ht="15" hidden="false" customHeight="false" outlineLevel="0" collapsed="false">
      <c r="A111" s="6" t="str">
        <f aca="false">Sheet2_Cleaned_Data!A111</f>
        <v>STR-1027</v>
      </c>
      <c r="B111" s="6" t="str">
        <f aca="false">Sheet2_Cleaned_Data!B111</f>
        <v>2025-03-01</v>
      </c>
      <c r="C111" s="6" t="str">
        <f aca="false">Sheet2_Cleaned_Data!D111</f>
        <v>High Street</v>
      </c>
      <c r="D111" s="7" t="n">
        <f aca="false">IF($C111="Airport",1,0)</f>
        <v>0</v>
      </c>
      <c r="E111" s="7" t="n">
        <f aca="false">IF($C111="Mall",1,0)</f>
        <v>0</v>
      </c>
      <c r="F111" s="7" t="n">
        <f aca="false">IF($C111="Residential",1,0)</f>
        <v>0</v>
      </c>
    </row>
    <row r="112" customFormat="false" ht="15" hidden="false" customHeight="false" outlineLevel="0" collapsed="false">
      <c r="A112" s="6" t="str">
        <f aca="false">Sheet2_Cleaned_Data!A112</f>
        <v>STR-1027</v>
      </c>
      <c r="B112" s="6" t="str">
        <f aca="false">Sheet2_Cleaned_Data!B112</f>
        <v>2025-04-01</v>
      </c>
      <c r="C112" s="6" t="str">
        <f aca="false">Sheet2_Cleaned_Data!D112</f>
        <v>High Street</v>
      </c>
      <c r="D112" s="7" t="n">
        <f aca="false">IF($C112="Airport",1,0)</f>
        <v>0</v>
      </c>
      <c r="E112" s="7" t="n">
        <f aca="false">IF($C112="Mall",1,0)</f>
        <v>0</v>
      </c>
      <c r="F112" s="7" t="n">
        <f aca="false">IF($C112="Residential",1,0)</f>
        <v>0</v>
      </c>
    </row>
    <row r="113" customFormat="false" ht="15" hidden="false" customHeight="false" outlineLevel="0" collapsed="false">
      <c r="A113" s="6" t="str">
        <f aca="false">Sheet2_Cleaned_Data!A113</f>
        <v>STR-1028</v>
      </c>
      <c r="B113" s="6" t="str">
        <f aca="false">Sheet2_Cleaned_Data!B113</f>
        <v>2025-01-01</v>
      </c>
      <c r="C113" s="6" t="str">
        <f aca="false">Sheet2_Cleaned_Data!D113</f>
        <v>Mall</v>
      </c>
      <c r="D113" s="7" t="n">
        <f aca="false">IF($C113="Airport",1,0)</f>
        <v>0</v>
      </c>
      <c r="E113" s="7" t="n">
        <f aca="false">IF($C113="Mall",1,0)</f>
        <v>1</v>
      </c>
      <c r="F113" s="7" t="n">
        <f aca="false">IF($C113="Residential",1,0)</f>
        <v>0</v>
      </c>
    </row>
    <row r="114" customFormat="false" ht="15" hidden="false" customHeight="false" outlineLevel="0" collapsed="false">
      <c r="A114" s="6" t="str">
        <f aca="false">Sheet2_Cleaned_Data!A114</f>
        <v>STR-1028</v>
      </c>
      <c r="B114" s="6" t="str">
        <f aca="false">Sheet2_Cleaned_Data!B114</f>
        <v>2025-02-01</v>
      </c>
      <c r="C114" s="6" t="str">
        <f aca="false">Sheet2_Cleaned_Data!D114</f>
        <v>Mall</v>
      </c>
      <c r="D114" s="7" t="n">
        <f aca="false">IF($C114="Airport",1,0)</f>
        <v>0</v>
      </c>
      <c r="E114" s="7" t="n">
        <f aca="false">IF($C114="Mall",1,0)</f>
        <v>1</v>
      </c>
      <c r="F114" s="7" t="n">
        <f aca="false">IF($C114="Residential",1,0)</f>
        <v>0</v>
      </c>
    </row>
    <row r="115" customFormat="false" ht="15" hidden="false" customHeight="false" outlineLevel="0" collapsed="false">
      <c r="A115" s="6" t="str">
        <f aca="false">Sheet2_Cleaned_Data!A115</f>
        <v>STR-1028</v>
      </c>
      <c r="B115" s="6" t="str">
        <f aca="false">Sheet2_Cleaned_Data!B115</f>
        <v>2025-03-01</v>
      </c>
      <c r="C115" s="6" t="str">
        <f aca="false">Sheet2_Cleaned_Data!D115</f>
        <v>Mall</v>
      </c>
      <c r="D115" s="7" t="n">
        <f aca="false">IF($C115="Airport",1,0)</f>
        <v>0</v>
      </c>
      <c r="E115" s="7" t="n">
        <f aca="false">IF($C115="Mall",1,0)</f>
        <v>1</v>
      </c>
      <c r="F115" s="7" t="n">
        <f aca="false">IF($C115="Residential",1,0)</f>
        <v>0</v>
      </c>
    </row>
    <row r="116" customFormat="false" ht="15" hidden="false" customHeight="false" outlineLevel="0" collapsed="false">
      <c r="A116" s="6" t="str">
        <f aca="false">Sheet2_Cleaned_Data!A116</f>
        <v>STR-1028</v>
      </c>
      <c r="B116" s="6" t="str">
        <f aca="false">Sheet2_Cleaned_Data!B116</f>
        <v>2025-04-01</v>
      </c>
      <c r="C116" s="6" t="str">
        <f aca="false">Sheet2_Cleaned_Data!D116</f>
        <v>Mall</v>
      </c>
      <c r="D116" s="7" t="n">
        <f aca="false">IF($C116="Airport",1,0)</f>
        <v>0</v>
      </c>
      <c r="E116" s="7" t="n">
        <f aca="false">IF($C116="Mall",1,0)</f>
        <v>1</v>
      </c>
      <c r="F116" s="7" t="n">
        <f aca="false">IF($C116="Residential",1,0)</f>
        <v>0</v>
      </c>
    </row>
    <row r="117" customFormat="false" ht="15" hidden="false" customHeight="false" outlineLevel="0" collapsed="false">
      <c r="A117" s="6" t="str">
        <f aca="false">Sheet2_Cleaned_Data!A117</f>
        <v>STR-1029</v>
      </c>
      <c r="B117" s="6" t="str">
        <f aca="false">Sheet2_Cleaned_Data!B117</f>
        <v>2025-01-01</v>
      </c>
      <c r="C117" s="6" t="str">
        <f aca="false">Sheet2_Cleaned_Data!D117</f>
        <v>Mall</v>
      </c>
      <c r="D117" s="7" t="n">
        <f aca="false">IF($C117="Airport",1,0)</f>
        <v>0</v>
      </c>
      <c r="E117" s="7" t="n">
        <f aca="false">IF($C117="Mall",1,0)</f>
        <v>1</v>
      </c>
      <c r="F117" s="7" t="n">
        <f aca="false">IF($C117="Residential",1,0)</f>
        <v>0</v>
      </c>
    </row>
    <row r="118" customFormat="false" ht="15" hidden="false" customHeight="false" outlineLevel="0" collapsed="false">
      <c r="A118" s="6" t="str">
        <f aca="false">Sheet2_Cleaned_Data!A118</f>
        <v>STR-1029</v>
      </c>
      <c r="B118" s="6" t="str">
        <f aca="false">Sheet2_Cleaned_Data!B118</f>
        <v>2025-02-01</v>
      </c>
      <c r="C118" s="6" t="str">
        <f aca="false">Sheet2_Cleaned_Data!D118</f>
        <v>Mall</v>
      </c>
      <c r="D118" s="7" t="n">
        <f aca="false">IF($C118="Airport",1,0)</f>
        <v>0</v>
      </c>
      <c r="E118" s="7" t="n">
        <f aca="false">IF($C118="Mall",1,0)</f>
        <v>1</v>
      </c>
      <c r="F118" s="7" t="n">
        <f aca="false">IF($C118="Residential",1,0)</f>
        <v>0</v>
      </c>
    </row>
    <row r="119" customFormat="false" ht="15" hidden="false" customHeight="false" outlineLevel="0" collapsed="false">
      <c r="A119" s="6" t="str">
        <f aca="false">Sheet2_Cleaned_Data!A119</f>
        <v>STR-1029</v>
      </c>
      <c r="B119" s="6" t="str">
        <f aca="false">Sheet2_Cleaned_Data!B119</f>
        <v>2025-03-01</v>
      </c>
      <c r="C119" s="6" t="str">
        <f aca="false">Sheet2_Cleaned_Data!D119</f>
        <v>Mall</v>
      </c>
      <c r="D119" s="7" t="n">
        <f aca="false">IF($C119="Airport",1,0)</f>
        <v>0</v>
      </c>
      <c r="E119" s="7" t="n">
        <f aca="false">IF($C119="Mall",1,0)</f>
        <v>1</v>
      </c>
      <c r="F119" s="7" t="n">
        <f aca="false">IF($C119="Residential",1,0)</f>
        <v>0</v>
      </c>
    </row>
    <row r="120" customFormat="false" ht="15" hidden="false" customHeight="false" outlineLevel="0" collapsed="false">
      <c r="A120" s="6" t="str">
        <f aca="false">Sheet2_Cleaned_Data!A120</f>
        <v>STR-1029</v>
      </c>
      <c r="B120" s="6" t="str">
        <f aca="false">Sheet2_Cleaned_Data!B120</f>
        <v>2025-04-01</v>
      </c>
      <c r="C120" s="6" t="str">
        <f aca="false">Sheet2_Cleaned_Data!D120</f>
        <v>Mall</v>
      </c>
      <c r="D120" s="7" t="n">
        <f aca="false">IF($C120="Airport",1,0)</f>
        <v>0</v>
      </c>
      <c r="E120" s="7" t="n">
        <f aca="false">IF($C120="Mall",1,0)</f>
        <v>1</v>
      </c>
      <c r="F120" s="7" t="n">
        <f aca="false">IF($C120="Residential",1,0)</f>
        <v>0</v>
      </c>
    </row>
    <row r="121" customFormat="false" ht="15" hidden="false" customHeight="false" outlineLevel="0" collapsed="false">
      <c r="A121" s="6" t="str">
        <f aca="false">Sheet2_Cleaned_Data!A121</f>
        <v>STR-1030</v>
      </c>
      <c r="B121" s="6" t="str">
        <f aca="false">Sheet2_Cleaned_Data!B121</f>
        <v>2025-01-01</v>
      </c>
      <c r="C121" s="6" t="str">
        <f aca="false">Sheet2_Cleaned_Data!D121</f>
        <v>Residential</v>
      </c>
      <c r="D121" s="7" t="n">
        <f aca="false">IF($C121="Airport",1,0)</f>
        <v>0</v>
      </c>
      <c r="E121" s="7" t="n">
        <f aca="false">IF($C121="Mall",1,0)</f>
        <v>0</v>
      </c>
      <c r="F121" s="7" t="n">
        <f aca="false">IF($C121="Residential",1,0)</f>
        <v>1</v>
      </c>
    </row>
    <row r="122" customFormat="false" ht="15" hidden="false" customHeight="false" outlineLevel="0" collapsed="false">
      <c r="A122" s="6" t="str">
        <f aca="false">Sheet2_Cleaned_Data!A122</f>
        <v>STR-1030</v>
      </c>
      <c r="B122" s="6" t="str">
        <f aca="false">Sheet2_Cleaned_Data!B122</f>
        <v>2025-02-01</v>
      </c>
      <c r="C122" s="6" t="str">
        <f aca="false">Sheet2_Cleaned_Data!D122</f>
        <v>Residential</v>
      </c>
      <c r="D122" s="7" t="n">
        <f aca="false">IF($C122="Airport",1,0)</f>
        <v>0</v>
      </c>
      <c r="E122" s="7" t="n">
        <f aca="false">IF($C122="Mall",1,0)</f>
        <v>0</v>
      </c>
      <c r="F122" s="7" t="n">
        <f aca="false">IF($C122="Residential",1,0)</f>
        <v>1</v>
      </c>
    </row>
    <row r="123" customFormat="false" ht="15" hidden="false" customHeight="false" outlineLevel="0" collapsed="false">
      <c r="A123" s="6" t="str">
        <f aca="false">Sheet2_Cleaned_Data!A123</f>
        <v>STR-1030</v>
      </c>
      <c r="B123" s="6" t="str">
        <f aca="false">Sheet2_Cleaned_Data!B123</f>
        <v>2025-03-01</v>
      </c>
      <c r="C123" s="6" t="str">
        <f aca="false">Sheet2_Cleaned_Data!D123</f>
        <v>Residential</v>
      </c>
      <c r="D123" s="7" t="n">
        <f aca="false">IF($C123="Airport",1,0)</f>
        <v>0</v>
      </c>
      <c r="E123" s="7" t="n">
        <f aca="false">IF($C123="Mall",1,0)</f>
        <v>0</v>
      </c>
      <c r="F123" s="7" t="n">
        <f aca="false">IF($C123="Residential",1,0)</f>
        <v>1</v>
      </c>
    </row>
    <row r="124" customFormat="false" ht="15" hidden="false" customHeight="false" outlineLevel="0" collapsed="false">
      <c r="A124" s="6" t="str">
        <f aca="false">Sheet2_Cleaned_Data!A124</f>
        <v>STR-1030</v>
      </c>
      <c r="B124" s="6" t="str">
        <f aca="false">Sheet2_Cleaned_Data!B124</f>
        <v>2025-04-01</v>
      </c>
      <c r="C124" s="6" t="str">
        <f aca="false">Sheet2_Cleaned_Data!D124</f>
        <v>Residential</v>
      </c>
      <c r="D124" s="7" t="n">
        <f aca="false">IF($C124="Airport",1,0)</f>
        <v>0</v>
      </c>
      <c r="E124" s="7" t="n">
        <f aca="false">IF($C124="Mall",1,0)</f>
        <v>0</v>
      </c>
      <c r="F124" s="7" t="n">
        <f aca="false">IF($C124="Residential",1,0)</f>
        <v>1</v>
      </c>
    </row>
    <row r="125" customFormat="false" ht="15" hidden="false" customHeight="false" outlineLevel="0" collapsed="false">
      <c r="A125" s="6" t="str">
        <f aca="false">Sheet2_Cleaned_Data!A125</f>
        <v>STR-1031</v>
      </c>
      <c r="B125" s="6" t="str">
        <f aca="false">Sheet2_Cleaned_Data!B125</f>
        <v>2025-01-01</v>
      </c>
      <c r="C125" s="6" t="str">
        <f aca="false">Sheet2_Cleaned_Data!D125</f>
        <v>High Street</v>
      </c>
      <c r="D125" s="7" t="n">
        <f aca="false">IF($C125="Airport",1,0)</f>
        <v>0</v>
      </c>
      <c r="E125" s="7" t="n">
        <f aca="false">IF($C125="Mall",1,0)</f>
        <v>0</v>
      </c>
      <c r="F125" s="7" t="n">
        <f aca="false">IF($C125="Residential",1,0)</f>
        <v>0</v>
      </c>
    </row>
    <row r="126" customFormat="false" ht="15" hidden="false" customHeight="false" outlineLevel="0" collapsed="false">
      <c r="A126" s="6" t="str">
        <f aca="false">Sheet2_Cleaned_Data!A126</f>
        <v>STR-1031</v>
      </c>
      <c r="B126" s="6" t="str">
        <f aca="false">Sheet2_Cleaned_Data!B126</f>
        <v>2025-02-01</v>
      </c>
      <c r="C126" s="6" t="str">
        <f aca="false">Sheet2_Cleaned_Data!D126</f>
        <v>High Street</v>
      </c>
      <c r="D126" s="7" t="n">
        <f aca="false">IF($C126="Airport",1,0)</f>
        <v>0</v>
      </c>
      <c r="E126" s="7" t="n">
        <f aca="false">IF($C126="Mall",1,0)</f>
        <v>0</v>
      </c>
      <c r="F126" s="7" t="n">
        <f aca="false">IF($C126="Residential",1,0)</f>
        <v>0</v>
      </c>
    </row>
    <row r="127" customFormat="false" ht="15" hidden="false" customHeight="false" outlineLevel="0" collapsed="false">
      <c r="A127" s="6" t="str">
        <f aca="false">Sheet2_Cleaned_Data!A127</f>
        <v>STR-1031</v>
      </c>
      <c r="B127" s="6" t="str">
        <f aca="false">Sheet2_Cleaned_Data!B127</f>
        <v>2025-03-01</v>
      </c>
      <c r="C127" s="6" t="str">
        <f aca="false">Sheet2_Cleaned_Data!D127</f>
        <v>High Street</v>
      </c>
      <c r="D127" s="7" t="n">
        <f aca="false">IF($C127="Airport",1,0)</f>
        <v>0</v>
      </c>
      <c r="E127" s="7" t="n">
        <f aca="false">IF($C127="Mall",1,0)</f>
        <v>0</v>
      </c>
      <c r="F127" s="7" t="n">
        <f aca="false">IF($C127="Residential",1,0)</f>
        <v>0</v>
      </c>
    </row>
    <row r="128" customFormat="false" ht="15" hidden="false" customHeight="false" outlineLevel="0" collapsed="false">
      <c r="A128" s="6" t="str">
        <f aca="false">Sheet2_Cleaned_Data!A128</f>
        <v>STR-1031</v>
      </c>
      <c r="B128" s="6" t="str">
        <f aca="false">Sheet2_Cleaned_Data!B128</f>
        <v>2025-04-01</v>
      </c>
      <c r="C128" s="6" t="str">
        <f aca="false">Sheet2_Cleaned_Data!D128</f>
        <v>High Street</v>
      </c>
      <c r="D128" s="7" t="n">
        <f aca="false">IF($C128="Airport",1,0)</f>
        <v>0</v>
      </c>
      <c r="E128" s="7" t="n">
        <f aca="false">IF($C128="Mall",1,0)</f>
        <v>0</v>
      </c>
      <c r="F128" s="7" t="n">
        <f aca="false">IF($C128="Residential",1,0)</f>
        <v>0</v>
      </c>
    </row>
    <row r="129" customFormat="false" ht="15" hidden="false" customHeight="false" outlineLevel="0" collapsed="false">
      <c r="A129" s="6" t="str">
        <f aca="false">Sheet2_Cleaned_Data!A129</f>
        <v>STR-1032</v>
      </c>
      <c r="B129" s="6" t="str">
        <f aca="false">Sheet2_Cleaned_Data!B129</f>
        <v>2025-01-01</v>
      </c>
      <c r="C129" s="6" t="str">
        <f aca="false">Sheet2_Cleaned_Data!D129</f>
        <v>High Street</v>
      </c>
      <c r="D129" s="7" t="n">
        <f aca="false">IF($C129="Airport",1,0)</f>
        <v>0</v>
      </c>
      <c r="E129" s="7" t="n">
        <f aca="false">IF($C129="Mall",1,0)</f>
        <v>0</v>
      </c>
      <c r="F129" s="7" t="n">
        <f aca="false">IF($C129="Residential",1,0)</f>
        <v>0</v>
      </c>
    </row>
    <row r="130" customFormat="false" ht="15" hidden="false" customHeight="false" outlineLevel="0" collapsed="false">
      <c r="A130" s="6" t="str">
        <f aca="false">Sheet2_Cleaned_Data!A130</f>
        <v>STR-1032</v>
      </c>
      <c r="B130" s="6" t="str">
        <f aca="false">Sheet2_Cleaned_Data!B130</f>
        <v>2025-02-01</v>
      </c>
      <c r="C130" s="6" t="str">
        <f aca="false">Sheet2_Cleaned_Data!D130</f>
        <v>High Street</v>
      </c>
      <c r="D130" s="7" t="n">
        <f aca="false">IF($C130="Airport",1,0)</f>
        <v>0</v>
      </c>
      <c r="E130" s="7" t="n">
        <f aca="false">IF($C130="Mall",1,0)</f>
        <v>0</v>
      </c>
      <c r="F130" s="7" t="n">
        <f aca="false">IF($C130="Residential",1,0)</f>
        <v>0</v>
      </c>
    </row>
    <row r="131" customFormat="false" ht="15" hidden="false" customHeight="false" outlineLevel="0" collapsed="false">
      <c r="A131" s="6" t="str">
        <f aca="false">Sheet2_Cleaned_Data!A131</f>
        <v>STR-1032</v>
      </c>
      <c r="B131" s="6" t="str">
        <f aca="false">Sheet2_Cleaned_Data!B131</f>
        <v>2025-03-01</v>
      </c>
      <c r="C131" s="6" t="str">
        <f aca="false">Sheet2_Cleaned_Data!D131</f>
        <v>High Street</v>
      </c>
      <c r="D131" s="7" t="n">
        <f aca="false">IF($C131="Airport",1,0)</f>
        <v>0</v>
      </c>
      <c r="E131" s="7" t="n">
        <f aca="false">IF($C131="Mall",1,0)</f>
        <v>0</v>
      </c>
      <c r="F131" s="7" t="n">
        <f aca="false">IF($C131="Residential",1,0)</f>
        <v>0</v>
      </c>
    </row>
    <row r="132" customFormat="false" ht="15" hidden="false" customHeight="false" outlineLevel="0" collapsed="false">
      <c r="A132" s="6" t="str">
        <f aca="false">Sheet2_Cleaned_Data!A132</f>
        <v>STR-1032</v>
      </c>
      <c r="B132" s="6" t="str">
        <f aca="false">Sheet2_Cleaned_Data!B132</f>
        <v>2025-04-01</v>
      </c>
      <c r="C132" s="6" t="str">
        <f aca="false">Sheet2_Cleaned_Data!D132</f>
        <v>High Street</v>
      </c>
      <c r="D132" s="7" t="n">
        <f aca="false">IF($C132="Airport",1,0)</f>
        <v>0</v>
      </c>
      <c r="E132" s="7" t="n">
        <f aca="false">IF($C132="Mall",1,0)</f>
        <v>0</v>
      </c>
      <c r="F132" s="7" t="n">
        <f aca="false">IF($C132="Residential",1,0)</f>
        <v>0</v>
      </c>
    </row>
    <row r="133" customFormat="false" ht="15" hidden="false" customHeight="false" outlineLevel="0" collapsed="false">
      <c r="A133" s="6" t="str">
        <f aca="false">Sheet2_Cleaned_Data!A133</f>
        <v>STR-1033</v>
      </c>
      <c r="B133" s="6" t="str">
        <f aca="false">Sheet2_Cleaned_Data!B133</f>
        <v>2025-01-01</v>
      </c>
      <c r="C133" s="6" t="str">
        <f aca="false">Sheet2_Cleaned_Data!D133</f>
        <v>High Street</v>
      </c>
      <c r="D133" s="7" t="n">
        <f aca="false">IF($C133="Airport",1,0)</f>
        <v>0</v>
      </c>
      <c r="E133" s="7" t="n">
        <f aca="false">IF($C133="Mall",1,0)</f>
        <v>0</v>
      </c>
      <c r="F133" s="7" t="n">
        <f aca="false">IF($C133="Residential",1,0)</f>
        <v>0</v>
      </c>
    </row>
    <row r="134" customFormat="false" ht="15" hidden="false" customHeight="false" outlineLevel="0" collapsed="false">
      <c r="A134" s="6" t="str">
        <f aca="false">Sheet2_Cleaned_Data!A134</f>
        <v>STR-1033</v>
      </c>
      <c r="B134" s="6" t="str">
        <f aca="false">Sheet2_Cleaned_Data!B134</f>
        <v>2025-02-01</v>
      </c>
      <c r="C134" s="6" t="str">
        <f aca="false">Sheet2_Cleaned_Data!D134</f>
        <v>High Street</v>
      </c>
      <c r="D134" s="7" t="n">
        <f aca="false">IF($C134="Airport",1,0)</f>
        <v>0</v>
      </c>
      <c r="E134" s="7" t="n">
        <f aca="false">IF($C134="Mall",1,0)</f>
        <v>0</v>
      </c>
      <c r="F134" s="7" t="n">
        <f aca="false">IF($C134="Residential",1,0)</f>
        <v>0</v>
      </c>
    </row>
    <row r="135" customFormat="false" ht="15" hidden="false" customHeight="false" outlineLevel="0" collapsed="false">
      <c r="A135" s="6" t="str">
        <f aca="false">Sheet2_Cleaned_Data!A135</f>
        <v>STR-1033</v>
      </c>
      <c r="B135" s="6" t="str">
        <f aca="false">Sheet2_Cleaned_Data!B135</f>
        <v>2025-03-01</v>
      </c>
      <c r="C135" s="6" t="str">
        <f aca="false">Sheet2_Cleaned_Data!D135</f>
        <v>High Street</v>
      </c>
      <c r="D135" s="7" t="n">
        <f aca="false">IF($C135="Airport",1,0)</f>
        <v>0</v>
      </c>
      <c r="E135" s="7" t="n">
        <f aca="false">IF($C135="Mall",1,0)</f>
        <v>0</v>
      </c>
      <c r="F135" s="7" t="n">
        <f aca="false">IF($C135="Residential",1,0)</f>
        <v>0</v>
      </c>
    </row>
    <row r="136" customFormat="false" ht="15" hidden="false" customHeight="false" outlineLevel="0" collapsed="false">
      <c r="A136" s="6" t="str">
        <f aca="false">Sheet2_Cleaned_Data!A136</f>
        <v>STR-1033</v>
      </c>
      <c r="B136" s="6" t="str">
        <f aca="false">Sheet2_Cleaned_Data!B136</f>
        <v>2025-04-01</v>
      </c>
      <c r="C136" s="6" t="str">
        <f aca="false">Sheet2_Cleaned_Data!D136</f>
        <v>High Street</v>
      </c>
      <c r="D136" s="7" t="n">
        <f aca="false">IF($C136="Airport",1,0)</f>
        <v>0</v>
      </c>
      <c r="E136" s="7" t="n">
        <f aca="false">IF($C136="Mall",1,0)</f>
        <v>0</v>
      </c>
      <c r="F136" s="7" t="n">
        <f aca="false">IF($C136="Residential",1,0)</f>
        <v>0</v>
      </c>
    </row>
    <row r="137" customFormat="false" ht="15" hidden="false" customHeight="false" outlineLevel="0" collapsed="false">
      <c r="A137" s="6" t="str">
        <f aca="false">Sheet2_Cleaned_Data!A137</f>
        <v>STR-1034</v>
      </c>
      <c r="B137" s="6" t="str">
        <f aca="false">Sheet2_Cleaned_Data!B137</f>
        <v>2025-01-01</v>
      </c>
      <c r="C137" s="6" t="str">
        <f aca="false">Sheet2_Cleaned_Data!D137</f>
        <v>High Street</v>
      </c>
      <c r="D137" s="7" t="n">
        <f aca="false">IF($C137="Airport",1,0)</f>
        <v>0</v>
      </c>
      <c r="E137" s="7" t="n">
        <f aca="false">IF($C137="Mall",1,0)</f>
        <v>0</v>
      </c>
      <c r="F137" s="7" t="n">
        <f aca="false">IF($C137="Residential",1,0)</f>
        <v>0</v>
      </c>
    </row>
    <row r="138" customFormat="false" ht="15" hidden="false" customHeight="false" outlineLevel="0" collapsed="false">
      <c r="A138" s="6" t="str">
        <f aca="false">Sheet2_Cleaned_Data!A138</f>
        <v>STR-1034</v>
      </c>
      <c r="B138" s="6" t="str">
        <f aca="false">Sheet2_Cleaned_Data!B138</f>
        <v>2025-02-01</v>
      </c>
      <c r="C138" s="6" t="str">
        <f aca="false">Sheet2_Cleaned_Data!D138</f>
        <v>High Street</v>
      </c>
      <c r="D138" s="7" t="n">
        <f aca="false">IF($C138="Airport",1,0)</f>
        <v>0</v>
      </c>
      <c r="E138" s="7" t="n">
        <f aca="false">IF($C138="Mall",1,0)</f>
        <v>0</v>
      </c>
      <c r="F138" s="7" t="n">
        <f aca="false">IF($C138="Residential",1,0)</f>
        <v>0</v>
      </c>
    </row>
    <row r="139" customFormat="false" ht="15" hidden="false" customHeight="false" outlineLevel="0" collapsed="false">
      <c r="A139" s="6" t="str">
        <f aca="false">Sheet2_Cleaned_Data!A139</f>
        <v>STR-1034</v>
      </c>
      <c r="B139" s="6" t="str">
        <f aca="false">Sheet2_Cleaned_Data!B139</f>
        <v>2025-03-01</v>
      </c>
      <c r="C139" s="6" t="str">
        <f aca="false">Sheet2_Cleaned_Data!D139</f>
        <v>High Street</v>
      </c>
      <c r="D139" s="7" t="n">
        <f aca="false">IF($C139="Airport",1,0)</f>
        <v>0</v>
      </c>
      <c r="E139" s="7" t="n">
        <f aca="false">IF($C139="Mall",1,0)</f>
        <v>0</v>
      </c>
      <c r="F139" s="7" t="n">
        <f aca="false">IF($C139="Residential",1,0)</f>
        <v>0</v>
      </c>
    </row>
    <row r="140" customFormat="false" ht="15" hidden="false" customHeight="false" outlineLevel="0" collapsed="false">
      <c r="A140" s="6" t="str">
        <f aca="false">Sheet2_Cleaned_Data!A140</f>
        <v>STR-1034</v>
      </c>
      <c r="B140" s="6" t="str">
        <f aca="false">Sheet2_Cleaned_Data!B140</f>
        <v>2025-04-01</v>
      </c>
      <c r="C140" s="6" t="str">
        <f aca="false">Sheet2_Cleaned_Data!D140</f>
        <v>High Street</v>
      </c>
      <c r="D140" s="7" t="n">
        <f aca="false">IF($C140="Airport",1,0)</f>
        <v>0</v>
      </c>
      <c r="E140" s="7" t="n">
        <f aca="false">IF($C140="Mall",1,0)</f>
        <v>0</v>
      </c>
      <c r="F140" s="7" t="n">
        <f aca="false">IF($C140="Residential",1,0)</f>
        <v>0</v>
      </c>
    </row>
    <row r="141" customFormat="false" ht="15" hidden="false" customHeight="false" outlineLevel="0" collapsed="false">
      <c r="A141" s="6" t="str">
        <f aca="false">Sheet2_Cleaned_Data!A141</f>
        <v>STR-1035</v>
      </c>
      <c r="B141" s="6" t="str">
        <f aca="false">Sheet2_Cleaned_Data!B141</f>
        <v>2025-01-01</v>
      </c>
      <c r="C141" s="6" t="str">
        <f aca="false">Sheet2_Cleaned_Data!D141</f>
        <v>Residential</v>
      </c>
      <c r="D141" s="7" t="n">
        <f aca="false">IF($C141="Airport",1,0)</f>
        <v>0</v>
      </c>
      <c r="E141" s="7" t="n">
        <f aca="false">IF($C141="Mall",1,0)</f>
        <v>0</v>
      </c>
      <c r="F141" s="7" t="n">
        <f aca="false">IF($C141="Residential",1,0)</f>
        <v>1</v>
      </c>
    </row>
    <row r="142" customFormat="false" ht="15" hidden="false" customHeight="false" outlineLevel="0" collapsed="false">
      <c r="A142" s="6" t="str">
        <f aca="false">Sheet2_Cleaned_Data!A142</f>
        <v>STR-1035</v>
      </c>
      <c r="B142" s="6" t="str">
        <f aca="false">Sheet2_Cleaned_Data!B142</f>
        <v>2025-02-01</v>
      </c>
      <c r="C142" s="6" t="str">
        <f aca="false">Sheet2_Cleaned_Data!D142</f>
        <v>Residential</v>
      </c>
      <c r="D142" s="7" t="n">
        <f aca="false">IF($C142="Airport",1,0)</f>
        <v>0</v>
      </c>
      <c r="E142" s="7" t="n">
        <f aca="false">IF($C142="Mall",1,0)</f>
        <v>0</v>
      </c>
      <c r="F142" s="7" t="n">
        <f aca="false">IF($C142="Residential",1,0)</f>
        <v>1</v>
      </c>
    </row>
    <row r="143" customFormat="false" ht="15" hidden="false" customHeight="false" outlineLevel="0" collapsed="false">
      <c r="A143" s="6" t="str">
        <f aca="false">Sheet2_Cleaned_Data!A143</f>
        <v>STR-1035</v>
      </c>
      <c r="B143" s="6" t="str">
        <f aca="false">Sheet2_Cleaned_Data!B143</f>
        <v>2025-03-01</v>
      </c>
      <c r="C143" s="6" t="str">
        <f aca="false">Sheet2_Cleaned_Data!D143</f>
        <v>Residential</v>
      </c>
      <c r="D143" s="7" t="n">
        <f aca="false">IF($C143="Airport",1,0)</f>
        <v>0</v>
      </c>
      <c r="E143" s="7" t="n">
        <f aca="false">IF($C143="Mall",1,0)</f>
        <v>0</v>
      </c>
      <c r="F143" s="7" t="n">
        <f aca="false">IF($C143="Residential",1,0)</f>
        <v>1</v>
      </c>
    </row>
    <row r="144" customFormat="false" ht="15" hidden="false" customHeight="false" outlineLevel="0" collapsed="false">
      <c r="A144" s="6" t="str">
        <f aca="false">Sheet2_Cleaned_Data!A144</f>
        <v>STR-1035</v>
      </c>
      <c r="B144" s="6" t="str">
        <f aca="false">Sheet2_Cleaned_Data!B144</f>
        <v>2025-04-01</v>
      </c>
      <c r="C144" s="6" t="str">
        <f aca="false">Sheet2_Cleaned_Data!D144</f>
        <v>Residential</v>
      </c>
      <c r="D144" s="7" t="n">
        <f aca="false">IF($C144="Airport",1,0)</f>
        <v>0</v>
      </c>
      <c r="E144" s="7" t="n">
        <f aca="false">IF($C144="Mall",1,0)</f>
        <v>0</v>
      </c>
      <c r="F144" s="7" t="n">
        <f aca="false">IF($C144="Residential",1,0)</f>
        <v>1</v>
      </c>
    </row>
    <row r="145" customFormat="false" ht="15" hidden="false" customHeight="false" outlineLevel="0" collapsed="false">
      <c r="A145" s="6" t="str">
        <f aca="false">Sheet2_Cleaned_Data!A145</f>
        <v>STR-1036</v>
      </c>
      <c r="B145" s="6" t="str">
        <f aca="false">Sheet2_Cleaned_Data!B145</f>
        <v>2025-01-01</v>
      </c>
      <c r="C145" s="6" t="str">
        <f aca="false">Sheet2_Cleaned_Data!D145</f>
        <v>High Street</v>
      </c>
      <c r="D145" s="7" t="n">
        <f aca="false">IF($C145="Airport",1,0)</f>
        <v>0</v>
      </c>
      <c r="E145" s="7" t="n">
        <f aca="false">IF($C145="Mall",1,0)</f>
        <v>0</v>
      </c>
      <c r="F145" s="7" t="n">
        <f aca="false">IF($C145="Residential",1,0)</f>
        <v>0</v>
      </c>
    </row>
    <row r="146" customFormat="false" ht="15" hidden="false" customHeight="false" outlineLevel="0" collapsed="false">
      <c r="A146" s="6" t="str">
        <f aca="false">Sheet2_Cleaned_Data!A146</f>
        <v>STR-1036</v>
      </c>
      <c r="B146" s="6" t="str">
        <f aca="false">Sheet2_Cleaned_Data!B146</f>
        <v>2025-02-01</v>
      </c>
      <c r="C146" s="6" t="str">
        <f aca="false">Sheet2_Cleaned_Data!D146</f>
        <v>High Street</v>
      </c>
      <c r="D146" s="7" t="n">
        <f aca="false">IF($C146="Airport",1,0)</f>
        <v>0</v>
      </c>
      <c r="E146" s="7" t="n">
        <f aca="false">IF($C146="Mall",1,0)</f>
        <v>0</v>
      </c>
      <c r="F146" s="7" t="n">
        <f aca="false">IF($C146="Residential",1,0)</f>
        <v>0</v>
      </c>
    </row>
    <row r="147" customFormat="false" ht="15" hidden="false" customHeight="false" outlineLevel="0" collapsed="false">
      <c r="A147" s="6" t="str">
        <f aca="false">Sheet2_Cleaned_Data!A147</f>
        <v>STR-1036</v>
      </c>
      <c r="B147" s="6" t="str">
        <f aca="false">Sheet2_Cleaned_Data!B147</f>
        <v>2025-03-01</v>
      </c>
      <c r="C147" s="6" t="str">
        <f aca="false">Sheet2_Cleaned_Data!D147</f>
        <v>High Street</v>
      </c>
      <c r="D147" s="7" t="n">
        <f aca="false">IF($C147="Airport",1,0)</f>
        <v>0</v>
      </c>
      <c r="E147" s="7" t="n">
        <f aca="false">IF($C147="Mall",1,0)</f>
        <v>0</v>
      </c>
      <c r="F147" s="7" t="n">
        <f aca="false">IF($C147="Residential",1,0)</f>
        <v>0</v>
      </c>
    </row>
    <row r="148" customFormat="false" ht="15" hidden="false" customHeight="false" outlineLevel="0" collapsed="false">
      <c r="A148" s="6" t="str">
        <f aca="false">Sheet2_Cleaned_Data!A148</f>
        <v>STR-1036</v>
      </c>
      <c r="B148" s="6" t="str">
        <f aca="false">Sheet2_Cleaned_Data!B148</f>
        <v>2025-04-01</v>
      </c>
      <c r="C148" s="6" t="str">
        <f aca="false">Sheet2_Cleaned_Data!D148</f>
        <v>High Street</v>
      </c>
      <c r="D148" s="7" t="n">
        <f aca="false">IF($C148="Airport",1,0)</f>
        <v>0</v>
      </c>
      <c r="E148" s="7" t="n">
        <f aca="false">IF($C148="Mall",1,0)</f>
        <v>0</v>
      </c>
      <c r="F148" s="7" t="n">
        <f aca="false">IF($C148="Residential",1,0)</f>
        <v>0</v>
      </c>
    </row>
    <row r="149" customFormat="false" ht="15" hidden="false" customHeight="false" outlineLevel="0" collapsed="false">
      <c r="A149" s="6" t="str">
        <f aca="false">Sheet2_Cleaned_Data!A149</f>
        <v>STR-1037</v>
      </c>
      <c r="B149" s="6" t="str">
        <f aca="false">Sheet2_Cleaned_Data!B149</f>
        <v>2025-01-01</v>
      </c>
      <c r="C149" s="6" t="str">
        <f aca="false">Sheet2_Cleaned_Data!D149</f>
        <v>Residential</v>
      </c>
      <c r="D149" s="7" t="n">
        <f aca="false">IF($C149="Airport",1,0)</f>
        <v>0</v>
      </c>
      <c r="E149" s="7" t="n">
        <f aca="false">IF($C149="Mall",1,0)</f>
        <v>0</v>
      </c>
      <c r="F149" s="7" t="n">
        <f aca="false">IF($C149="Residential",1,0)</f>
        <v>1</v>
      </c>
    </row>
    <row r="150" customFormat="false" ht="15" hidden="false" customHeight="false" outlineLevel="0" collapsed="false">
      <c r="A150" s="6" t="str">
        <f aca="false">Sheet2_Cleaned_Data!A150</f>
        <v>STR-1037</v>
      </c>
      <c r="B150" s="6" t="str">
        <f aca="false">Sheet2_Cleaned_Data!B150</f>
        <v>2025-02-01</v>
      </c>
      <c r="C150" s="6" t="str">
        <f aca="false">Sheet2_Cleaned_Data!D150</f>
        <v>Residential</v>
      </c>
      <c r="D150" s="7" t="n">
        <f aca="false">IF($C150="Airport",1,0)</f>
        <v>0</v>
      </c>
      <c r="E150" s="7" t="n">
        <f aca="false">IF($C150="Mall",1,0)</f>
        <v>0</v>
      </c>
      <c r="F150" s="7" t="n">
        <f aca="false">IF($C150="Residential",1,0)</f>
        <v>1</v>
      </c>
    </row>
    <row r="151" customFormat="false" ht="15" hidden="false" customHeight="false" outlineLevel="0" collapsed="false">
      <c r="A151" s="6" t="str">
        <f aca="false">Sheet2_Cleaned_Data!A151</f>
        <v>STR-1037</v>
      </c>
      <c r="B151" s="6" t="str">
        <f aca="false">Sheet2_Cleaned_Data!B151</f>
        <v>2025-03-01</v>
      </c>
      <c r="C151" s="6" t="str">
        <f aca="false">Sheet2_Cleaned_Data!D151</f>
        <v>Residential</v>
      </c>
      <c r="D151" s="7" t="n">
        <f aca="false">IF($C151="Airport",1,0)</f>
        <v>0</v>
      </c>
      <c r="E151" s="7" t="n">
        <f aca="false">IF($C151="Mall",1,0)</f>
        <v>0</v>
      </c>
      <c r="F151" s="7" t="n">
        <f aca="false">IF($C151="Residential",1,0)</f>
        <v>1</v>
      </c>
    </row>
    <row r="152" customFormat="false" ht="15" hidden="false" customHeight="false" outlineLevel="0" collapsed="false">
      <c r="A152" s="6" t="str">
        <f aca="false">Sheet2_Cleaned_Data!A152</f>
        <v>STR-1037</v>
      </c>
      <c r="B152" s="6" t="str">
        <f aca="false">Sheet2_Cleaned_Data!B152</f>
        <v>2025-04-01</v>
      </c>
      <c r="C152" s="6" t="str">
        <f aca="false">Sheet2_Cleaned_Data!D152</f>
        <v>Residential</v>
      </c>
      <c r="D152" s="7" t="n">
        <f aca="false">IF($C152="Airport",1,0)</f>
        <v>0</v>
      </c>
      <c r="E152" s="7" t="n">
        <f aca="false">IF($C152="Mall",1,0)</f>
        <v>0</v>
      </c>
      <c r="F152" s="7" t="n">
        <f aca="false">IF($C152="Residential",1,0)</f>
        <v>1</v>
      </c>
    </row>
    <row r="153" customFormat="false" ht="15" hidden="false" customHeight="false" outlineLevel="0" collapsed="false">
      <c r="A153" s="6" t="str">
        <f aca="false">Sheet2_Cleaned_Data!A153</f>
        <v>STR-1038</v>
      </c>
      <c r="B153" s="6" t="str">
        <f aca="false">Sheet2_Cleaned_Data!B153</f>
        <v>2025-01-01</v>
      </c>
      <c r="C153" s="6" t="str">
        <f aca="false">Sheet2_Cleaned_Data!D153</f>
        <v>Mall</v>
      </c>
      <c r="D153" s="7" t="n">
        <f aca="false">IF($C153="Airport",1,0)</f>
        <v>0</v>
      </c>
      <c r="E153" s="7" t="n">
        <f aca="false">IF($C153="Mall",1,0)</f>
        <v>1</v>
      </c>
      <c r="F153" s="7" t="n">
        <f aca="false">IF($C153="Residential",1,0)</f>
        <v>0</v>
      </c>
    </row>
    <row r="154" customFormat="false" ht="15" hidden="false" customHeight="false" outlineLevel="0" collapsed="false">
      <c r="A154" s="6" t="str">
        <f aca="false">Sheet2_Cleaned_Data!A154</f>
        <v>STR-1038</v>
      </c>
      <c r="B154" s="6" t="str">
        <f aca="false">Sheet2_Cleaned_Data!B154</f>
        <v>2025-02-01</v>
      </c>
      <c r="C154" s="6" t="str">
        <f aca="false">Sheet2_Cleaned_Data!D154</f>
        <v>Mall</v>
      </c>
      <c r="D154" s="7" t="n">
        <f aca="false">IF($C154="Airport",1,0)</f>
        <v>0</v>
      </c>
      <c r="E154" s="7" t="n">
        <f aca="false">IF($C154="Mall",1,0)</f>
        <v>1</v>
      </c>
      <c r="F154" s="7" t="n">
        <f aca="false">IF($C154="Residential",1,0)</f>
        <v>0</v>
      </c>
    </row>
    <row r="155" customFormat="false" ht="15" hidden="false" customHeight="false" outlineLevel="0" collapsed="false">
      <c r="A155" s="6" t="str">
        <f aca="false">Sheet2_Cleaned_Data!A155</f>
        <v>STR-1038</v>
      </c>
      <c r="B155" s="6" t="str">
        <f aca="false">Sheet2_Cleaned_Data!B155</f>
        <v>2025-03-01</v>
      </c>
      <c r="C155" s="6" t="str">
        <f aca="false">Sheet2_Cleaned_Data!D155</f>
        <v>Mall</v>
      </c>
      <c r="D155" s="7" t="n">
        <f aca="false">IF($C155="Airport",1,0)</f>
        <v>0</v>
      </c>
      <c r="E155" s="7" t="n">
        <f aca="false">IF($C155="Mall",1,0)</f>
        <v>1</v>
      </c>
      <c r="F155" s="7" t="n">
        <f aca="false">IF($C155="Residential",1,0)</f>
        <v>0</v>
      </c>
    </row>
    <row r="156" customFormat="false" ht="15" hidden="false" customHeight="false" outlineLevel="0" collapsed="false">
      <c r="A156" s="6" t="str">
        <f aca="false">Sheet2_Cleaned_Data!A156</f>
        <v>STR-1038</v>
      </c>
      <c r="B156" s="6" t="str">
        <f aca="false">Sheet2_Cleaned_Data!B156</f>
        <v>2025-04-01</v>
      </c>
      <c r="C156" s="6" t="str">
        <f aca="false">Sheet2_Cleaned_Data!D156</f>
        <v>Mall</v>
      </c>
      <c r="D156" s="7" t="n">
        <f aca="false">IF($C156="Airport",1,0)</f>
        <v>0</v>
      </c>
      <c r="E156" s="7" t="n">
        <f aca="false">IF($C156="Mall",1,0)</f>
        <v>1</v>
      </c>
      <c r="F156" s="7" t="n">
        <f aca="false">IF($C156="Residential",1,0)</f>
        <v>0</v>
      </c>
    </row>
    <row r="157" customFormat="false" ht="15" hidden="false" customHeight="false" outlineLevel="0" collapsed="false">
      <c r="A157" s="6" t="str">
        <f aca="false">Sheet2_Cleaned_Data!A157</f>
        <v>STR-1039</v>
      </c>
      <c r="B157" s="6" t="str">
        <f aca="false">Sheet2_Cleaned_Data!B157</f>
        <v>2025-01-01</v>
      </c>
      <c r="C157" s="6" t="str">
        <f aca="false">Sheet2_Cleaned_Data!D157</f>
        <v>High Street</v>
      </c>
      <c r="D157" s="7" t="n">
        <f aca="false">IF($C157="Airport",1,0)</f>
        <v>0</v>
      </c>
      <c r="E157" s="7" t="n">
        <f aca="false">IF($C157="Mall",1,0)</f>
        <v>0</v>
      </c>
      <c r="F157" s="7" t="n">
        <f aca="false">IF($C157="Residential",1,0)</f>
        <v>0</v>
      </c>
    </row>
    <row r="158" customFormat="false" ht="15" hidden="false" customHeight="false" outlineLevel="0" collapsed="false">
      <c r="A158" s="6" t="str">
        <f aca="false">Sheet2_Cleaned_Data!A158</f>
        <v>STR-1039</v>
      </c>
      <c r="B158" s="6" t="str">
        <f aca="false">Sheet2_Cleaned_Data!B158</f>
        <v>2025-02-01</v>
      </c>
      <c r="C158" s="6" t="str">
        <f aca="false">Sheet2_Cleaned_Data!D158</f>
        <v>High Street</v>
      </c>
      <c r="D158" s="7" t="n">
        <f aca="false">IF($C158="Airport",1,0)</f>
        <v>0</v>
      </c>
      <c r="E158" s="7" t="n">
        <f aca="false">IF($C158="Mall",1,0)</f>
        <v>0</v>
      </c>
      <c r="F158" s="7" t="n">
        <f aca="false">IF($C158="Residential",1,0)</f>
        <v>0</v>
      </c>
    </row>
    <row r="159" customFormat="false" ht="15" hidden="false" customHeight="false" outlineLevel="0" collapsed="false">
      <c r="A159" s="6" t="str">
        <f aca="false">Sheet2_Cleaned_Data!A159</f>
        <v>STR-1039</v>
      </c>
      <c r="B159" s="6" t="str">
        <f aca="false">Sheet2_Cleaned_Data!B159</f>
        <v>2025-03-01</v>
      </c>
      <c r="C159" s="6" t="str">
        <f aca="false">Sheet2_Cleaned_Data!D159</f>
        <v>High Street</v>
      </c>
      <c r="D159" s="7" t="n">
        <f aca="false">IF($C159="Airport",1,0)</f>
        <v>0</v>
      </c>
      <c r="E159" s="7" t="n">
        <f aca="false">IF($C159="Mall",1,0)</f>
        <v>0</v>
      </c>
      <c r="F159" s="7" t="n">
        <f aca="false">IF($C159="Residential",1,0)</f>
        <v>0</v>
      </c>
    </row>
    <row r="160" customFormat="false" ht="15" hidden="false" customHeight="false" outlineLevel="0" collapsed="false">
      <c r="A160" s="6" t="str">
        <f aca="false">Sheet2_Cleaned_Data!A160</f>
        <v>STR-1039</v>
      </c>
      <c r="B160" s="6" t="str">
        <f aca="false">Sheet2_Cleaned_Data!B160</f>
        <v>2025-04-01</v>
      </c>
      <c r="C160" s="6" t="str">
        <f aca="false">Sheet2_Cleaned_Data!D160</f>
        <v>High Street</v>
      </c>
      <c r="D160" s="7" t="n">
        <f aca="false">IF($C160="Airport",1,0)</f>
        <v>0</v>
      </c>
      <c r="E160" s="7" t="n">
        <f aca="false">IF($C160="Mall",1,0)</f>
        <v>0</v>
      </c>
      <c r="F160" s="7" t="n">
        <f aca="false">IF($C160="Residential",1,0)</f>
        <v>0</v>
      </c>
    </row>
    <row r="161" customFormat="false" ht="15" hidden="false" customHeight="false" outlineLevel="0" collapsed="false">
      <c r="A161" s="6" t="str">
        <f aca="false">Sheet2_Cleaned_Data!A161</f>
        <v>STR-1040</v>
      </c>
      <c r="B161" s="6" t="str">
        <f aca="false">Sheet2_Cleaned_Data!B161</f>
        <v>2025-01-01</v>
      </c>
      <c r="C161" s="6" t="str">
        <f aca="false">Sheet2_Cleaned_Data!D161</f>
        <v>Mall</v>
      </c>
      <c r="D161" s="7" t="n">
        <f aca="false">IF($C161="Airport",1,0)</f>
        <v>0</v>
      </c>
      <c r="E161" s="7" t="n">
        <f aca="false">IF($C161="Mall",1,0)</f>
        <v>1</v>
      </c>
      <c r="F161" s="7" t="n">
        <f aca="false">IF($C161="Residential",1,0)</f>
        <v>0</v>
      </c>
    </row>
    <row r="162" customFormat="false" ht="15" hidden="false" customHeight="false" outlineLevel="0" collapsed="false">
      <c r="A162" s="6" t="str">
        <f aca="false">Sheet2_Cleaned_Data!A162</f>
        <v>STR-1040</v>
      </c>
      <c r="B162" s="6" t="str">
        <f aca="false">Sheet2_Cleaned_Data!B162</f>
        <v>2025-02-01</v>
      </c>
      <c r="C162" s="6" t="str">
        <f aca="false">Sheet2_Cleaned_Data!D162</f>
        <v>Mall</v>
      </c>
      <c r="D162" s="7" t="n">
        <f aca="false">IF($C162="Airport",1,0)</f>
        <v>0</v>
      </c>
      <c r="E162" s="7" t="n">
        <f aca="false">IF($C162="Mall",1,0)</f>
        <v>1</v>
      </c>
      <c r="F162" s="7" t="n">
        <f aca="false">IF($C162="Residential",1,0)</f>
        <v>0</v>
      </c>
    </row>
    <row r="163" customFormat="false" ht="15" hidden="false" customHeight="false" outlineLevel="0" collapsed="false">
      <c r="A163" s="6" t="str">
        <f aca="false">Sheet2_Cleaned_Data!A163</f>
        <v>STR-1040</v>
      </c>
      <c r="B163" s="6" t="str">
        <f aca="false">Sheet2_Cleaned_Data!B163</f>
        <v>2025-03-01</v>
      </c>
      <c r="C163" s="6" t="str">
        <f aca="false">Sheet2_Cleaned_Data!D163</f>
        <v>Mall</v>
      </c>
      <c r="D163" s="7" t="n">
        <f aca="false">IF($C163="Airport",1,0)</f>
        <v>0</v>
      </c>
      <c r="E163" s="7" t="n">
        <f aca="false">IF($C163="Mall",1,0)</f>
        <v>1</v>
      </c>
      <c r="F163" s="7" t="n">
        <f aca="false">IF($C163="Residential",1,0)</f>
        <v>0</v>
      </c>
    </row>
    <row r="164" customFormat="false" ht="15" hidden="false" customHeight="false" outlineLevel="0" collapsed="false">
      <c r="A164" s="6" t="str">
        <f aca="false">Sheet2_Cleaned_Data!A164</f>
        <v>STR-1040</v>
      </c>
      <c r="B164" s="6" t="str">
        <f aca="false">Sheet2_Cleaned_Data!B164</f>
        <v>2025-04-01</v>
      </c>
      <c r="C164" s="6" t="str">
        <f aca="false">Sheet2_Cleaned_Data!D164</f>
        <v>Mall</v>
      </c>
      <c r="D164" s="7" t="n">
        <f aca="false">IF($C164="Airport",1,0)</f>
        <v>0</v>
      </c>
      <c r="E164" s="7" t="n">
        <f aca="false">IF($C164="Mall",1,0)</f>
        <v>1</v>
      </c>
      <c r="F164" s="7" t="n">
        <f aca="false">IF($C164="Residential",1,0)</f>
        <v>0</v>
      </c>
    </row>
    <row r="165" customFormat="false" ht="15" hidden="false" customHeight="false" outlineLevel="0" collapsed="false">
      <c r="A165" s="6" t="str">
        <f aca="false">Sheet2_Cleaned_Data!A165</f>
        <v>STR-1041</v>
      </c>
      <c r="B165" s="6" t="str">
        <f aca="false">Sheet2_Cleaned_Data!B165</f>
        <v>2025-01-01</v>
      </c>
      <c r="C165" s="6" t="str">
        <f aca="false">Sheet2_Cleaned_Data!D165</f>
        <v>High Street</v>
      </c>
      <c r="D165" s="7" t="n">
        <f aca="false">IF($C165="Airport",1,0)</f>
        <v>0</v>
      </c>
      <c r="E165" s="7" t="n">
        <f aca="false">IF($C165="Mall",1,0)</f>
        <v>0</v>
      </c>
      <c r="F165" s="7" t="n">
        <f aca="false">IF($C165="Residential",1,0)</f>
        <v>0</v>
      </c>
    </row>
    <row r="166" customFormat="false" ht="15" hidden="false" customHeight="false" outlineLevel="0" collapsed="false">
      <c r="A166" s="6" t="str">
        <f aca="false">Sheet2_Cleaned_Data!A166</f>
        <v>STR-1041</v>
      </c>
      <c r="B166" s="6" t="str">
        <f aca="false">Sheet2_Cleaned_Data!B166</f>
        <v>2025-02-01</v>
      </c>
      <c r="C166" s="6" t="str">
        <f aca="false">Sheet2_Cleaned_Data!D166</f>
        <v>High Street</v>
      </c>
      <c r="D166" s="7" t="n">
        <f aca="false">IF($C166="Airport",1,0)</f>
        <v>0</v>
      </c>
      <c r="E166" s="7" t="n">
        <f aca="false">IF($C166="Mall",1,0)</f>
        <v>0</v>
      </c>
      <c r="F166" s="7" t="n">
        <f aca="false">IF($C166="Residential",1,0)</f>
        <v>0</v>
      </c>
    </row>
    <row r="167" customFormat="false" ht="15" hidden="false" customHeight="false" outlineLevel="0" collapsed="false">
      <c r="A167" s="6" t="str">
        <f aca="false">Sheet2_Cleaned_Data!A167</f>
        <v>STR-1041</v>
      </c>
      <c r="B167" s="6" t="str">
        <f aca="false">Sheet2_Cleaned_Data!B167</f>
        <v>2025-03-01</v>
      </c>
      <c r="C167" s="6" t="str">
        <f aca="false">Sheet2_Cleaned_Data!D167</f>
        <v>High Street</v>
      </c>
      <c r="D167" s="7" t="n">
        <f aca="false">IF($C167="Airport",1,0)</f>
        <v>0</v>
      </c>
      <c r="E167" s="7" t="n">
        <f aca="false">IF($C167="Mall",1,0)</f>
        <v>0</v>
      </c>
      <c r="F167" s="7" t="n">
        <f aca="false">IF($C167="Residential",1,0)</f>
        <v>0</v>
      </c>
    </row>
    <row r="168" customFormat="false" ht="15" hidden="false" customHeight="false" outlineLevel="0" collapsed="false">
      <c r="A168" s="6" t="str">
        <f aca="false">Sheet2_Cleaned_Data!A168</f>
        <v>STR-1041</v>
      </c>
      <c r="B168" s="6" t="str">
        <f aca="false">Sheet2_Cleaned_Data!B168</f>
        <v>2025-04-01</v>
      </c>
      <c r="C168" s="6" t="str">
        <f aca="false">Sheet2_Cleaned_Data!D168</f>
        <v>High Street</v>
      </c>
      <c r="D168" s="7" t="n">
        <f aca="false">IF($C168="Airport",1,0)</f>
        <v>0</v>
      </c>
      <c r="E168" s="7" t="n">
        <f aca="false">IF($C168="Mall",1,0)</f>
        <v>0</v>
      </c>
      <c r="F168" s="7" t="n">
        <f aca="false">IF($C168="Residential",1,0)</f>
        <v>0</v>
      </c>
    </row>
    <row r="169" customFormat="false" ht="15" hidden="false" customHeight="false" outlineLevel="0" collapsed="false">
      <c r="A169" s="6" t="str">
        <f aca="false">Sheet2_Cleaned_Data!A169</f>
        <v>STR-1042</v>
      </c>
      <c r="B169" s="6" t="str">
        <f aca="false">Sheet2_Cleaned_Data!B169</f>
        <v>2025-01-01</v>
      </c>
      <c r="C169" s="6" t="str">
        <f aca="false">Sheet2_Cleaned_Data!D169</f>
        <v>Mall</v>
      </c>
      <c r="D169" s="7" t="n">
        <f aca="false">IF($C169="Airport",1,0)</f>
        <v>0</v>
      </c>
      <c r="E169" s="7" t="n">
        <f aca="false">IF($C169="Mall",1,0)</f>
        <v>1</v>
      </c>
      <c r="F169" s="7" t="n">
        <f aca="false">IF($C169="Residential",1,0)</f>
        <v>0</v>
      </c>
    </row>
    <row r="170" customFormat="false" ht="15" hidden="false" customHeight="false" outlineLevel="0" collapsed="false">
      <c r="A170" s="6" t="str">
        <f aca="false">Sheet2_Cleaned_Data!A170</f>
        <v>STR-1042</v>
      </c>
      <c r="B170" s="6" t="str">
        <f aca="false">Sheet2_Cleaned_Data!B170</f>
        <v>2025-02-01</v>
      </c>
      <c r="C170" s="6" t="str">
        <f aca="false">Sheet2_Cleaned_Data!D170</f>
        <v>Mall</v>
      </c>
      <c r="D170" s="7" t="n">
        <f aca="false">IF($C170="Airport",1,0)</f>
        <v>0</v>
      </c>
      <c r="E170" s="7" t="n">
        <f aca="false">IF($C170="Mall",1,0)</f>
        <v>1</v>
      </c>
      <c r="F170" s="7" t="n">
        <f aca="false">IF($C170="Residential",1,0)</f>
        <v>0</v>
      </c>
    </row>
    <row r="171" customFormat="false" ht="15" hidden="false" customHeight="false" outlineLevel="0" collapsed="false">
      <c r="A171" s="6" t="str">
        <f aca="false">Sheet2_Cleaned_Data!A171</f>
        <v>STR-1042</v>
      </c>
      <c r="B171" s="6" t="str">
        <f aca="false">Sheet2_Cleaned_Data!B171</f>
        <v>2025-03-01</v>
      </c>
      <c r="C171" s="6" t="str">
        <f aca="false">Sheet2_Cleaned_Data!D171</f>
        <v>Mall</v>
      </c>
      <c r="D171" s="7" t="n">
        <f aca="false">IF($C171="Airport",1,0)</f>
        <v>0</v>
      </c>
      <c r="E171" s="7" t="n">
        <f aca="false">IF($C171="Mall",1,0)</f>
        <v>1</v>
      </c>
      <c r="F171" s="7" t="n">
        <f aca="false">IF($C171="Residential",1,0)</f>
        <v>0</v>
      </c>
    </row>
    <row r="172" customFormat="false" ht="15" hidden="false" customHeight="false" outlineLevel="0" collapsed="false">
      <c r="A172" s="6" t="str">
        <f aca="false">Sheet2_Cleaned_Data!A172</f>
        <v>STR-1042</v>
      </c>
      <c r="B172" s="6" t="str">
        <f aca="false">Sheet2_Cleaned_Data!B172</f>
        <v>2025-04-01</v>
      </c>
      <c r="C172" s="6" t="str">
        <f aca="false">Sheet2_Cleaned_Data!D172</f>
        <v>Mall</v>
      </c>
      <c r="D172" s="7" t="n">
        <f aca="false">IF($C172="Airport",1,0)</f>
        <v>0</v>
      </c>
      <c r="E172" s="7" t="n">
        <f aca="false">IF($C172="Mall",1,0)</f>
        <v>1</v>
      </c>
      <c r="F172" s="7" t="n">
        <f aca="false">IF($C172="Residential",1,0)</f>
        <v>0</v>
      </c>
    </row>
    <row r="173" customFormat="false" ht="15" hidden="false" customHeight="false" outlineLevel="0" collapsed="false">
      <c r="A173" s="6" t="str">
        <f aca="false">Sheet2_Cleaned_Data!A173</f>
        <v>STR-1043</v>
      </c>
      <c r="B173" s="6" t="str">
        <f aca="false">Sheet2_Cleaned_Data!B173</f>
        <v>2025-01-01</v>
      </c>
      <c r="C173" s="6" t="str">
        <f aca="false">Sheet2_Cleaned_Data!D173</f>
        <v>Residential</v>
      </c>
      <c r="D173" s="7" t="n">
        <f aca="false">IF($C173="Airport",1,0)</f>
        <v>0</v>
      </c>
      <c r="E173" s="7" t="n">
        <f aca="false">IF($C173="Mall",1,0)</f>
        <v>0</v>
      </c>
      <c r="F173" s="7" t="n">
        <f aca="false">IF($C173="Residential",1,0)</f>
        <v>1</v>
      </c>
    </row>
    <row r="174" customFormat="false" ht="15" hidden="false" customHeight="false" outlineLevel="0" collapsed="false">
      <c r="A174" s="6" t="str">
        <f aca="false">Sheet2_Cleaned_Data!A174</f>
        <v>STR-1043</v>
      </c>
      <c r="B174" s="6" t="str">
        <f aca="false">Sheet2_Cleaned_Data!B174</f>
        <v>2025-02-01</v>
      </c>
      <c r="C174" s="6" t="str">
        <f aca="false">Sheet2_Cleaned_Data!D174</f>
        <v>Residential</v>
      </c>
      <c r="D174" s="7" t="n">
        <f aca="false">IF($C174="Airport",1,0)</f>
        <v>0</v>
      </c>
      <c r="E174" s="7" t="n">
        <f aca="false">IF($C174="Mall",1,0)</f>
        <v>0</v>
      </c>
      <c r="F174" s="7" t="n">
        <f aca="false">IF($C174="Residential",1,0)</f>
        <v>1</v>
      </c>
    </row>
    <row r="175" customFormat="false" ht="15" hidden="false" customHeight="false" outlineLevel="0" collapsed="false">
      <c r="A175" s="6" t="str">
        <f aca="false">Sheet2_Cleaned_Data!A175</f>
        <v>STR-1043</v>
      </c>
      <c r="B175" s="6" t="str">
        <f aca="false">Sheet2_Cleaned_Data!B175</f>
        <v>2025-03-01</v>
      </c>
      <c r="C175" s="6" t="str">
        <f aca="false">Sheet2_Cleaned_Data!D175</f>
        <v>Residential</v>
      </c>
      <c r="D175" s="7" t="n">
        <f aca="false">IF($C175="Airport",1,0)</f>
        <v>0</v>
      </c>
      <c r="E175" s="7" t="n">
        <f aca="false">IF($C175="Mall",1,0)</f>
        <v>0</v>
      </c>
      <c r="F175" s="7" t="n">
        <f aca="false">IF($C175="Residential",1,0)</f>
        <v>1</v>
      </c>
    </row>
    <row r="176" customFormat="false" ht="15" hidden="false" customHeight="false" outlineLevel="0" collapsed="false">
      <c r="A176" s="6" t="str">
        <f aca="false">Sheet2_Cleaned_Data!A176</f>
        <v>STR-1043</v>
      </c>
      <c r="B176" s="6" t="str">
        <f aca="false">Sheet2_Cleaned_Data!B176</f>
        <v>2025-04-01</v>
      </c>
      <c r="C176" s="6" t="str">
        <f aca="false">Sheet2_Cleaned_Data!D176</f>
        <v>Residential</v>
      </c>
      <c r="D176" s="7" t="n">
        <f aca="false">IF($C176="Airport",1,0)</f>
        <v>0</v>
      </c>
      <c r="E176" s="7" t="n">
        <f aca="false">IF($C176="Mall",1,0)</f>
        <v>0</v>
      </c>
      <c r="F176" s="7" t="n">
        <f aca="false">IF($C176="Residential",1,0)</f>
        <v>1</v>
      </c>
    </row>
    <row r="177" customFormat="false" ht="15" hidden="false" customHeight="false" outlineLevel="0" collapsed="false">
      <c r="A177" s="6" t="str">
        <f aca="false">Sheet2_Cleaned_Data!A177</f>
        <v>STR-1044</v>
      </c>
      <c r="B177" s="6" t="str">
        <f aca="false">Sheet2_Cleaned_Data!B177</f>
        <v>2025-01-01</v>
      </c>
      <c r="C177" s="6" t="str">
        <f aca="false">Sheet2_Cleaned_Data!D177</f>
        <v>Residential</v>
      </c>
      <c r="D177" s="7" t="n">
        <f aca="false">IF($C177="Airport",1,0)</f>
        <v>0</v>
      </c>
      <c r="E177" s="7" t="n">
        <f aca="false">IF($C177="Mall",1,0)</f>
        <v>0</v>
      </c>
      <c r="F177" s="7" t="n">
        <f aca="false">IF($C177="Residential",1,0)</f>
        <v>1</v>
      </c>
    </row>
    <row r="178" customFormat="false" ht="15" hidden="false" customHeight="false" outlineLevel="0" collapsed="false">
      <c r="A178" s="6" t="str">
        <f aca="false">Sheet2_Cleaned_Data!A178</f>
        <v>STR-1044</v>
      </c>
      <c r="B178" s="6" t="str">
        <f aca="false">Sheet2_Cleaned_Data!B178</f>
        <v>2025-02-01</v>
      </c>
      <c r="C178" s="6" t="str">
        <f aca="false">Sheet2_Cleaned_Data!D178</f>
        <v>Residential</v>
      </c>
      <c r="D178" s="7" t="n">
        <f aca="false">IF($C178="Airport",1,0)</f>
        <v>0</v>
      </c>
      <c r="E178" s="7" t="n">
        <f aca="false">IF($C178="Mall",1,0)</f>
        <v>0</v>
      </c>
      <c r="F178" s="7" t="n">
        <f aca="false">IF($C178="Residential",1,0)</f>
        <v>1</v>
      </c>
    </row>
    <row r="179" customFormat="false" ht="15" hidden="false" customHeight="false" outlineLevel="0" collapsed="false">
      <c r="A179" s="6" t="str">
        <f aca="false">Sheet2_Cleaned_Data!A179</f>
        <v>STR-1044</v>
      </c>
      <c r="B179" s="6" t="str">
        <f aca="false">Sheet2_Cleaned_Data!B179</f>
        <v>2025-03-01</v>
      </c>
      <c r="C179" s="6" t="str">
        <f aca="false">Sheet2_Cleaned_Data!D179</f>
        <v>Residential</v>
      </c>
      <c r="D179" s="7" t="n">
        <f aca="false">IF($C179="Airport",1,0)</f>
        <v>0</v>
      </c>
      <c r="E179" s="7" t="n">
        <f aca="false">IF($C179="Mall",1,0)</f>
        <v>0</v>
      </c>
      <c r="F179" s="7" t="n">
        <f aca="false">IF($C179="Residential",1,0)</f>
        <v>1</v>
      </c>
    </row>
    <row r="180" customFormat="false" ht="15" hidden="false" customHeight="false" outlineLevel="0" collapsed="false">
      <c r="A180" s="6" t="str">
        <f aca="false">Sheet2_Cleaned_Data!A180</f>
        <v>STR-1044</v>
      </c>
      <c r="B180" s="6" t="str">
        <f aca="false">Sheet2_Cleaned_Data!B180</f>
        <v>2025-04-01</v>
      </c>
      <c r="C180" s="6" t="str">
        <f aca="false">Sheet2_Cleaned_Data!D180</f>
        <v>Residential</v>
      </c>
      <c r="D180" s="7" t="n">
        <f aca="false">IF($C180="Airport",1,0)</f>
        <v>0</v>
      </c>
      <c r="E180" s="7" t="n">
        <f aca="false">IF($C180="Mall",1,0)</f>
        <v>0</v>
      </c>
      <c r="F180" s="7" t="n">
        <f aca="false">IF($C180="Residential",1,0)</f>
        <v>1</v>
      </c>
    </row>
    <row r="181" customFormat="false" ht="15" hidden="false" customHeight="false" outlineLevel="0" collapsed="false">
      <c r="A181" s="6" t="str">
        <f aca="false">Sheet2_Cleaned_Data!A181</f>
        <v>STR-1045</v>
      </c>
      <c r="B181" s="6" t="str">
        <f aca="false">Sheet2_Cleaned_Data!B181</f>
        <v>2025-01-01</v>
      </c>
      <c r="C181" s="6" t="str">
        <f aca="false">Sheet2_Cleaned_Data!D181</f>
        <v>Airport</v>
      </c>
      <c r="D181" s="7" t="n">
        <f aca="false">IF($C181="Airport",1,0)</f>
        <v>1</v>
      </c>
      <c r="E181" s="7" t="n">
        <f aca="false">IF($C181="Mall",1,0)</f>
        <v>0</v>
      </c>
      <c r="F181" s="7" t="n">
        <f aca="false">IF($C181="Residential",1,0)</f>
        <v>0</v>
      </c>
    </row>
    <row r="182" customFormat="false" ht="15" hidden="false" customHeight="false" outlineLevel="0" collapsed="false">
      <c r="A182" s="6" t="str">
        <f aca="false">Sheet2_Cleaned_Data!A182</f>
        <v>STR-1045</v>
      </c>
      <c r="B182" s="6" t="str">
        <f aca="false">Sheet2_Cleaned_Data!B182</f>
        <v>2025-02-01</v>
      </c>
      <c r="C182" s="6" t="str">
        <f aca="false">Sheet2_Cleaned_Data!D182</f>
        <v>Airport</v>
      </c>
      <c r="D182" s="7" t="n">
        <f aca="false">IF($C182="Airport",1,0)</f>
        <v>1</v>
      </c>
      <c r="E182" s="7" t="n">
        <f aca="false">IF($C182="Mall",1,0)</f>
        <v>0</v>
      </c>
      <c r="F182" s="7" t="n">
        <f aca="false">IF($C182="Residential",1,0)</f>
        <v>0</v>
      </c>
    </row>
    <row r="183" customFormat="false" ht="15" hidden="false" customHeight="false" outlineLevel="0" collapsed="false">
      <c r="A183" s="6" t="str">
        <f aca="false">Sheet2_Cleaned_Data!A183</f>
        <v>STR-1045</v>
      </c>
      <c r="B183" s="6" t="str">
        <f aca="false">Sheet2_Cleaned_Data!B183</f>
        <v>2025-03-01</v>
      </c>
      <c r="C183" s="6" t="str">
        <f aca="false">Sheet2_Cleaned_Data!D183</f>
        <v>Airport</v>
      </c>
      <c r="D183" s="7" t="n">
        <f aca="false">IF($C183="Airport",1,0)</f>
        <v>1</v>
      </c>
      <c r="E183" s="7" t="n">
        <f aca="false">IF($C183="Mall",1,0)</f>
        <v>0</v>
      </c>
      <c r="F183" s="7" t="n">
        <f aca="false">IF($C183="Residential",1,0)</f>
        <v>0</v>
      </c>
    </row>
    <row r="184" customFormat="false" ht="15" hidden="false" customHeight="false" outlineLevel="0" collapsed="false">
      <c r="A184" s="6" t="str">
        <f aca="false">Sheet2_Cleaned_Data!A184</f>
        <v>STR-1045</v>
      </c>
      <c r="B184" s="6" t="str">
        <f aca="false">Sheet2_Cleaned_Data!B184</f>
        <v>2025-04-01</v>
      </c>
      <c r="C184" s="6" t="str">
        <f aca="false">Sheet2_Cleaned_Data!D184</f>
        <v>Airport</v>
      </c>
      <c r="D184" s="7" t="n">
        <f aca="false">IF($C184="Airport",1,0)</f>
        <v>1</v>
      </c>
      <c r="E184" s="7" t="n">
        <f aca="false">IF($C184="Mall",1,0)</f>
        <v>0</v>
      </c>
      <c r="F184" s="7" t="n">
        <f aca="false">IF($C184="Residential",1,0)</f>
        <v>0</v>
      </c>
    </row>
    <row r="185" customFormat="false" ht="15" hidden="false" customHeight="false" outlineLevel="0" collapsed="false">
      <c r="A185" s="6" t="str">
        <f aca="false">Sheet2_Cleaned_Data!A185</f>
        <v>STR-1046</v>
      </c>
      <c r="B185" s="6" t="str">
        <f aca="false">Sheet2_Cleaned_Data!B185</f>
        <v>2025-01-01</v>
      </c>
      <c r="C185" s="6" t="str">
        <f aca="false">Sheet2_Cleaned_Data!D185</f>
        <v>Residential</v>
      </c>
      <c r="D185" s="7" t="n">
        <f aca="false">IF($C185="Airport",1,0)</f>
        <v>0</v>
      </c>
      <c r="E185" s="7" t="n">
        <f aca="false">IF($C185="Mall",1,0)</f>
        <v>0</v>
      </c>
      <c r="F185" s="7" t="n">
        <f aca="false">IF($C185="Residential",1,0)</f>
        <v>1</v>
      </c>
    </row>
    <row r="186" customFormat="false" ht="15" hidden="false" customHeight="false" outlineLevel="0" collapsed="false">
      <c r="A186" s="6" t="str">
        <f aca="false">Sheet2_Cleaned_Data!A186</f>
        <v>STR-1046</v>
      </c>
      <c r="B186" s="6" t="str">
        <f aca="false">Sheet2_Cleaned_Data!B186</f>
        <v>2025-02-01</v>
      </c>
      <c r="C186" s="6" t="str">
        <f aca="false">Sheet2_Cleaned_Data!D186</f>
        <v>Residential</v>
      </c>
      <c r="D186" s="7" t="n">
        <f aca="false">IF($C186="Airport",1,0)</f>
        <v>0</v>
      </c>
      <c r="E186" s="7" t="n">
        <f aca="false">IF($C186="Mall",1,0)</f>
        <v>0</v>
      </c>
      <c r="F186" s="7" t="n">
        <f aca="false">IF($C186="Residential",1,0)</f>
        <v>1</v>
      </c>
    </row>
    <row r="187" customFormat="false" ht="15" hidden="false" customHeight="false" outlineLevel="0" collapsed="false">
      <c r="A187" s="6" t="str">
        <f aca="false">Sheet2_Cleaned_Data!A187</f>
        <v>STR-1046</v>
      </c>
      <c r="B187" s="6" t="str">
        <f aca="false">Sheet2_Cleaned_Data!B187</f>
        <v>2025-03-01</v>
      </c>
      <c r="C187" s="6" t="str">
        <f aca="false">Sheet2_Cleaned_Data!D187</f>
        <v>Residential</v>
      </c>
      <c r="D187" s="7" t="n">
        <f aca="false">IF($C187="Airport",1,0)</f>
        <v>0</v>
      </c>
      <c r="E187" s="7" t="n">
        <f aca="false">IF($C187="Mall",1,0)</f>
        <v>0</v>
      </c>
      <c r="F187" s="7" t="n">
        <f aca="false">IF($C187="Residential",1,0)</f>
        <v>1</v>
      </c>
    </row>
    <row r="188" customFormat="false" ht="15" hidden="false" customHeight="false" outlineLevel="0" collapsed="false">
      <c r="A188" s="6" t="str">
        <f aca="false">Sheet2_Cleaned_Data!A188</f>
        <v>STR-1046</v>
      </c>
      <c r="B188" s="6" t="str">
        <f aca="false">Sheet2_Cleaned_Data!B188</f>
        <v>2025-04-01</v>
      </c>
      <c r="C188" s="6" t="str">
        <f aca="false">Sheet2_Cleaned_Data!D188</f>
        <v>Residential</v>
      </c>
      <c r="D188" s="7" t="n">
        <f aca="false">IF($C188="Airport",1,0)</f>
        <v>0</v>
      </c>
      <c r="E188" s="7" t="n">
        <f aca="false">IF($C188="Mall",1,0)</f>
        <v>0</v>
      </c>
      <c r="F188" s="7" t="n">
        <f aca="false">IF($C188="Residential",1,0)</f>
        <v>1</v>
      </c>
    </row>
    <row r="189" customFormat="false" ht="15" hidden="false" customHeight="false" outlineLevel="0" collapsed="false">
      <c r="A189" s="6" t="str">
        <f aca="false">Sheet2_Cleaned_Data!A189</f>
        <v>STR-1047</v>
      </c>
      <c r="B189" s="6" t="str">
        <f aca="false">Sheet2_Cleaned_Data!B189</f>
        <v>2025-01-01</v>
      </c>
      <c r="C189" s="6" t="str">
        <f aca="false">Sheet2_Cleaned_Data!D189</f>
        <v>High Street</v>
      </c>
      <c r="D189" s="7" t="n">
        <f aca="false">IF($C189="Airport",1,0)</f>
        <v>0</v>
      </c>
      <c r="E189" s="7" t="n">
        <f aca="false">IF($C189="Mall",1,0)</f>
        <v>0</v>
      </c>
      <c r="F189" s="7" t="n">
        <f aca="false">IF($C189="Residential",1,0)</f>
        <v>0</v>
      </c>
    </row>
    <row r="190" customFormat="false" ht="15" hidden="false" customHeight="false" outlineLevel="0" collapsed="false">
      <c r="A190" s="6" t="str">
        <f aca="false">Sheet2_Cleaned_Data!A190</f>
        <v>STR-1047</v>
      </c>
      <c r="B190" s="6" t="str">
        <f aca="false">Sheet2_Cleaned_Data!B190</f>
        <v>2025-02-01</v>
      </c>
      <c r="C190" s="6" t="str">
        <f aca="false">Sheet2_Cleaned_Data!D190</f>
        <v>High Street</v>
      </c>
      <c r="D190" s="7" t="n">
        <f aca="false">IF($C190="Airport",1,0)</f>
        <v>0</v>
      </c>
      <c r="E190" s="7" t="n">
        <f aca="false">IF($C190="Mall",1,0)</f>
        <v>0</v>
      </c>
      <c r="F190" s="7" t="n">
        <f aca="false">IF($C190="Residential",1,0)</f>
        <v>0</v>
      </c>
    </row>
    <row r="191" customFormat="false" ht="15" hidden="false" customHeight="false" outlineLevel="0" collapsed="false">
      <c r="A191" s="6" t="str">
        <f aca="false">Sheet2_Cleaned_Data!A191</f>
        <v>STR-1047</v>
      </c>
      <c r="B191" s="6" t="str">
        <f aca="false">Sheet2_Cleaned_Data!B191</f>
        <v>2025-03-01</v>
      </c>
      <c r="C191" s="6" t="str">
        <f aca="false">Sheet2_Cleaned_Data!D191</f>
        <v>High Street</v>
      </c>
      <c r="D191" s="7" t="n">
        <f aca="false">IF($C191="Airport",1,0)</f>
        <v>0</v>
      </c>
      <c r="E191" s="7" t="n">
        <f aca="false">IF($C191="Mall",1,0)</f>
        <v>0</v>
      </c>
      <c r="F191" s="7" t="n">
        <f aca="false">IF($C191="Residential",1,0)</f>
        <v>0</v>
      </c>
    </row>
    <row r="192" customFormat="false" ht="15" hidden="false" customHeight="false" outlineLevel="0" collapsed="false">
      <c r="A192" s="6" t="str">
        <f aca="false">Sheet2_Cleaned_Data!A192</f>
        <v>STR-1047</v>
      </c>
      <c r="B192" s="6" t="str">
        <f aca="false">Sheet2_Cleaned_Data!B192</f>
        <v>2025-04-01</v>
      </c>
      <c r="C192" s="6" t="str">
        <f aca="false">Sheet2_Cleaned_Data!D192</f>
        <v>High Street</v>
      </c>
      <c r="D192" s="7" t="n">
        <f aca="false">IF($C192="Airport",1,0)</f>
        <v>0</v>
      </c>
      <c r="E192" s="7" t="n">
        <f aca="false">IF($C192="Mall",1,0)</f>
        <v>0</v>
      </c>
      <c r="F192" s="7" t="n">
        <f aca="false">IF($C192="Residential",1,0)</f>
        <v>0</v>
      </c>
    </row>
    <row r="193" customFormat="false" ht="15" hidden="false" customHeight="false" outlineLevel="0" collapsed="false">
      <c r="A193" s="6" t="str">
        <f aca="false">Sheet2_Cleaned_Data!A193</f>
        <v>STR-1048</v>
      </c>
      <c r="B193" s="6" t="str">
        <f aca="false">Sheet2_Cleaned_Data!B193</f>
        <v>2025-01-01</v>
      </c>
      <c r="C193" s="6" t="str">
        <f aca="false">Sheet2_Cleaned_Data!D193</f>
        <v>High Street</v>
      </c>
      <c r="D193" s="7" t="n">
        <f aca="false">IF($C193="Airport",1,0)</f>
        <v>0</v>
      </c>
      <c r="E193" s="7" t="n">
        <f aca="false">IF($C193="Mall",1,0)</f>
        <v>0</v>
      </c>
      <c r="F193" s="7" t="n">
        <f aca="false">IF($C193="Residential",1,0)</f>
        <v>0</v>
      </c>
    </row>
    <row r="194" customFormat="false" ht="15" hidden="false" customHeight="false" outlineLevel="0" collapsed="false">
      <c r="A194" s="6" t="str">
        <f aca="false">Sheet2_Cleaned_Data!A194</f>
        <v>STR-1048</v>
      </c>
      <c r="B194" s="6" t="str">
        <f aca="false">Sheet2_Cleaned_Data!B194</f>
        <v>2025-02-01</v>
      </c>
      <c r="C194" s="6" t="str">
        <f aca="false">Sheet2_Cleaned_Data!D194</f>
        <v>High Street</v>
      </c>
      <c r="D194" s="7" t="n">
        <f aca="false">IF($C194="Airport",1,0)</f>
        <v>0</v>
      </c>
      <c r="E194" s="7" t="n">
        <f aca="false">IF($C194="Mall",1,0)</f>
        <v>0</v>
      </c>
      <c r="F194" s="7" t="n">
        <f aca="false">IF($C194="Residential",1,0)</f>
        <v>0</v>
      </c>
    </row>
    <row r="195" customFormat="false" ht="15" hidden="false" customHeight="false" outlineLevel="0" collapsed="false">
      <c r="A195" s="6" t="str">
        <f aca="false">Sheet2_Cleaned_Data!A195</f>
        <v>STR-1048</v>
      </c>
      <c r="B195" s="6" t="str">
        <f aca="false">Sheet2_Cleaned_Data!B195</f>
        <v>2025-03-01</v>
      </c>
      <c r="C195" s="6" t="str">
        <f aca="false">Sheet2_Cleaned_Data!D195</f>
        <v>High Street</v>
      </c>
      <c r="D195" s="7" t="n">
        <f aca="false">IF($C195="Airport",1,0)</f>
        <v>0</v>
      </c>
      <c r="E195" s="7" t="n">
        <f aca="false">IF($C195="Mall",1,0)</f>
        <v>0</v>
      </c>
      <c r="F195" s="7" t="n">
        <f aca="false">IF($C195="Residential",1,0)</f>
        <v>0</v>
      </c>
    </row>
    <row r="196" customFormat="false" ht="15" hidden="false" customHeight="false" outlineLevel="0" collapsed="false">
      <c r="A196" s="6" t="str">
        <f aca="false">Sheet2_Cleaned_Data!A196</f>
        <v>STR-1048</v>
      </c>
      <c r="B196" s="6" t="str">
        <f aca="false">Sheet2_Cleaned_Data!B196</f>
        <v>2025-04-01</v>
      </c>
      <c r="C196" s="6" t="str">
        <f aca="false">Sheet2_Cleaned_Data!D196</f>
        <v>High Street</v>
      </c>
      <c r="D196" s="7" t="n">
        <f aca="false">IF($C196="Airport",1,0)</f>
        <v>0</v>
      </c>
      <c r="E196" s="7" t="n">
        <f aca="false">IF($C196="Mall",1,0)</f>
        <v>0</v>
      </c>
      <c r="F196" s="7" t="n">
        <f aca="false">IF($C196="Residential",1,0)</f>
        <v>0</v>
      </c>
    </row>
    <row r="197" customFormat="false" ht="15" hidden="false" customHeight="false" outlineLevel="0" collapsed="false">
      <c r="A197" s="6" t="str">
        <f aca="false">Sheet2_Cleaned_Data!A197</f>
        <v>STR-1049</v>
      </c>
      <c r="B197" s="6" t="str">
        <f aca="false">Sheet2_Cleaned_Data!B197</f>
        <v>2025-01-01</v>
      </c>
      <c r="C197" s="6" t="str">
        <f aca="false">Sheet2_Cleaned_Data!D197</f>
        <v>Residential</v>
      </c>
      <c r="D197" s="7" t="n">
        <f aca="false">IF($C197="Airport",1,0)</f>
        <v>0</v>
      </c>
      <c r="E197" s="7" t="n">
        <f aca="false">IF($C197="Mall",1,0)</f>
        <v>0</v>
      </c>
      <c r="F197" s="7" t="n">
        <f aca="false">IF($C197="Residential",1,0)</f>
        <v>1</v>
      </c>
    </row>
    <row r="198" customFormat="false" ht="15" hidden="false" customHeight="false" outlineLevel="0" collapsed="false">
      <c r="A198" s="6" t="str">
        <f aca="false">Sheet2_Cleaned_Data!A198</f>
        <v>STR-1049</v>
      </c>
      <c r="B198" s="6" t="str">
        <f aca="false">Sheet2_Cleaned_Data!B198</f>
        <v>2025-02-01</v>
      </c>
      <c r="C198" s="6" t="str">
        <f aca="false">Sheet2_Cleaned_Data!D198</f>
        <v>Residential</v>
      </c>
      <c r="D198" s="7" t="n">
        <f aca="false">IF($C198="Airport",1,0)</f>
        <v>0</v>
      </c>
      <c r="E198" s="7" t="n">
        <f aca="false">IF($C198="Mall",1,0)</f>
        <v>0</v>
      </c>
      <c r="F198" s="7" t="n">
        <f aca="false">IF($C198="Residential",1,0)</f>
        <v>1</v>
      </c>
    </row>
    <row r="199" customFormat="false" ht="15" hidden="false" customHeight="false" outlineLevel="0" collapsed="false">
      <c r="A199" s="6" t="str">
        <f aca="false">Sheet2_Cleaned_Data!A199</f>
        <v>STR-1049</v>
      </c>
      <c r="B199" s="6" t="str">
        <f aca="false">Sheet2_Cleaned_Data!B199</f>
        <v>2025-03-01</v>
      </c>
      <c r="C199" s="6" t="str">
        <f aca="false">Sheet2_Cleaned_Data!D199</f>
        <v>Residential</v>
      </c>
      <c r="D199" s="7" t="n">
        <f aca="false">IF($C199="Airport",1,0)</f>
        <v>0</v>
      </c>
      <c r="E199" s="7" t="n">
        <f aca="false">IF($C199="Mall",1,0)</f>
        <v>0</v>
      </c>
      <c r="F199" s="7" t="n">
        <f aca="false">IF($C199="Residential",1,0)</f>
        <v>1</v>
      </c>
    </row>
    <row r="200" customFormat="false" ht="15" hidden="false" customHeight="false" outlineLevel="0" collapsed="false">
      <c r="A200" s="6" t="str">
        <f aca="false">Sheet2_Cleaned_Data!A200</f>
        <v>STR-1049</v>
      </c>
      <c r="B200" s="6" t="str">
        <f aca="false">Sheet2_Cleaned_Data!B200</f>
        <v>2025-04-01</v>
      </c>
      <c r="C200" s="6" t="str">
        <f aca="false">Sheet2_Cleaned_Data!D200</f>
        <v>Residential</v>
      </c>
      <c r="D200" s="7" t="n">
        <f aca="false">IF($C200="Airport",1,0)</f>
        <v>0</v>
      </c>
      <c r="E200" s="7" t="n">
        <f aca="false">IF($C200="Mall",1,0)</f>
        <v>0</v>
      </c>
      <c r="F200" s="7" t="n">
        <f aca="false">IF($C200="Residential",1,0)</f>
        <v>1</v>
      </c>
    </row>
    <row r="201" customFormat="false" ht="15" hidden="false" customHeight="false" outlineLevel="0" collapsed="false">
      <c r="A201" s="6" t="str">
        <f aca="false">Sheet2_Cleaned_Data!A201</f>
        <v>STR-1050</v>
      </c>
      <c r="B201" s="6" t="str">
        <f aca="false">Sheet2_Cleaned_Data!B201</f>
        <v>2025-01-01</v>
      </c>
      <c r="C201" s="6" t="str">
        <f aca="false">Sheet2_Cleaned_Data!D201</f>
        <v>Residential</v>
      </c>
      <c r="D201" s="7" t="n">
        <f aca="false">IF($C201="Airport",1,0)</f>
        <v>0</v>
      </c>
      <c r="E201" s="7" t="n">
        <f aca="false">IF($C201="Mall",1,0)</f>
        <v>0</v>
      </c>
      <c r="F201" s="7" t="n">
        <f aca="false">IF($C201="Residential",1,0)</f>
        <v>1</v>
      </c>
    </row>
    <row r="202" customFormat="false" ht="15" hidden="false" customHeight="false" outlineLevel="0" collapsed="false">
      <c r="A202" s="6" t="str">
        <f aca="false">Sheet2_Cleaned_Data!A202</f>
        <v>STR-1050</v>
      </c>
      <c r="B202" s="6" t="str">
        <f aca="false">Sheet2_Cleaned_Data!B202</f>
        <v>2025-02-01</v>
      </c>
      <c r="C202" s="6" t="str">
        <f aca="false">Sheet2_Cleaned_Data!D202</f>
        <v>Residential</v>
      </c>
      <c r="D202" s="7" t="n">
        <f aca="false">IF($C202="Airport",1,0)</f>
        <v>0</v>
      </c>
      <c r="E202" s="7" t="n">
        <f aca="false">IF($C202="Mall",1,0)</f>
        <v>0</v>
      </c>
      <c r="F202" s="7" t="n">
        <f aca="false">IF($C202="Residential",1,0)</f>
        <v>1</v>
      </c>
    </row>
    <row r="203" customFormat="false" ht="15" hidden="false" customHeight="false" outlineLevel="0" collapsed="false">
      <c r="A203" s="6" t="str">
        <f aca="false">Sheet2_Cleaned_Data!A203</f>
        <v>STR-1050</v>
      </c>
      <c r="B203" s="6" t="str">
        <f aca="false">Sheet2_Cleaned_Data!B203</f>
        <v>2025-03-01</v>
      </c>
      <c r="C203" s="6" t="str">
        <f aca="false">Sheet2_Cleaned_Data!D203</f>
        <v>Residential</v>
      </c>
      <c r="D203" s="7" t="n">
        <f aca="false">IF($C203="Airport",1,0)</f>
        <v>0</v>
      </c>
      <c r="E203" s="7" t="n">
        <f aca="false">IF($C203="Mall",1,0)</f>
        <v>0</v>
      </c>
      <c r="F203" s="7" t="n">
        <f aca="false">IF($C203="Residential",1,0)</f>
        <v>1</v>
      </c>
    </row>
    <row r="204" customFormat="false" ht="15" hidden="false" customHeight="false" outlineLevel="0" collapsed="false">
      <c r="A204" s="6" t="str">
        <f aca="false">Sheet2_Cleaned_Data!A204</f>
        <v>STR-1050</v>
      </c>
      <c r="B204" s="6" t="str">
        <f aca="false">Sheet2_Cleaned_Data!B204</f>
        <v>2025-04-01</v>
      </c>
      <c r="C204" s="6" t="str">
        <f aca="false">Sheet2_Cleaned_Data!D204</f>
        <v>Residential</v>
      </c>
      <c r="D204" s="7" t="n">
        <f aca="false">IF($C204="Airport",1,0)</f>
        <v>0</v>
      </c>
      <c r="E204" s="7" t="n">
        <f aca="false">IF($C204="Mall",1,0)</f>
        <v>0</v>
      </c>
      <c r="F204" s="7" t="n">
        <f aca="false">IF($C204="Residential",1,0)</f>
        <v>1</v>
      </c>
    </row>
    <row r="205" customFormat="false" ht="15" hidden="false" customHeight="false" outlineLevel="0" collapsed="false">
      <c r="A205" s="6" t="str">
        <f aca="false">Sheet2_Cleaned_Data!A205</f>
        <v>STR-1051</v>
      </c>
      <c r="B205" s="6" t="str">
        <f aca="false">Sheet2_Cleaned_Data!B205</f>
        <v>2025-01-01</v>
      </c>
      <c r="C205" s="6" t="str">
        <f aca="false">Sheet2_Cleaned_Data!D205</f>
        <v>Airport</v>
      </c>
      <c r="D205" s="7" t="n">
        <f aca="false">IF($C205="Airport",1,0)</f>
        <v>1</v>
      </c>
      <c r="E205" s="7" t="n">
        <f aca="false">IF($C205="Mall",1,0)</f>
        <v>0</v>
      </c>
      <c r="F205" s="7" t="n">
        <f aca="false">IF($C205="Residential",1,0)</f>
        <v>0</v>
      </c>
    </row>
    <row r="206" customFormat="false" ht="15" hidden="false" customHeight="false" outlineLevel="0" collapsed="false">
      <c r="A206" s="6" t="str">
        <f aca="false">Sheet2_Cleaned_Data!A206</f>
        <v>STR-1051</v>
      </c>
      <c r="B206" s="6" t="str">
        <f aca="false">Sheet2_Cleaned_Data!B206</f>
        <v>2025-02-01</v>
      </c>
      <c r="C206" s="6" t="str">
        <f aca="false">Sheet2_Cleaned_Data!D206</f>
        <v>Airport</v>
      </c>
      <c r="D206" s="7" t="n">
        <f aca="false">IF($C206="Airport",1,0)</f>
        <v>1</v>
      </c>
      <c r="E206" s="7" t="n">
        <f aca="false">IF($C206="Mall",1,0)</f>
        <v>0</v>
      </c>
      <c r="F206" s="7" t="n">
        <f aca="false">IF($C206="Residential",1,0)</f>
        <v>0</v>
      </c>
    </row>
    <row r="207" customFormat="false" ht="15" hidden="false" customHeight="false" outlineLevel="0" collapsed="false">
      <c r="A207" s="6" t="str">
        <f aca="false">Sheet2_Cleaned_Data!A207</f>
        <v>STR-1051</v>
      </c>
      <c r="B207" s="6" t="str">
        <f aca="false">Sheet2_Cleaned_Data!B207</f>
        <v>2025-03-01</v>
      </c>
      <c r="C207" s="6" t="str">
        <f aca="false">Sheet2_Cleaned_Data!D207</f>
        <v>Airport</v>
      </c>
      <c r="D207" s="7" t="n">
        <f aca="false">IF($C207="Airport",1,0)</f>
        <v>1</v>
      </c>
      <c r="E207" s="7" t="n">
        <f aca="false">IF($C207="Mall",1,0)</f>
        <v>0</v>
      </c>
      <c r="F207" s="7" t="n">
        <f aca="false">IF($C207="Residential",1,0)</f>
        <v>0</v>
      </c>
    </row>
    <row r="208" customFormat="false" ht="15" hidden="false" customHeight="false" outlineLevel="0" collapsed="false">
      <c r="A208" s="6" t="str">
        <f aca="false">Sheet2_Cleaned_Data!A208</f>
        <v>STR-1051</v>
      </c>
      <c r="B208" s="6" t="str">
        <f aca="false">Sheet2_Cleaned_Data!B208</f>
        <v>2025-04-01</v>
      </c>
      <c r="C208" s="6" t="str">
        <f aca="false">Sheet2_Cleaned_Data!D208</f>
        <v>Airport</v>
      </c>
      <c r="D208" s="7" t="n">
        <f aca="false">IF($C208="Airport",1,0)</f>
        <v>1</v>
      </c>
      <c r="E208" s="7" t="n">
        <f aca="false">IF($C208="Mall",1,0)</f>
        <v>0</v>
      </c>
      <c r="F208" s="7" t="n">
        <f aca="false">IF($C208="Residential",1,0)</f>
        <v>0</v>
      </c>
    </row>
    <row r="209" customFormat="false" ht="15" hidden="false" customHeight="false" outlineLevel="0" collapsed="false">
      <c r="A209" s="6" t="str">
        <f aca="false">Sheet2_Cleaned_Data!A209</f>
        <v>STR-1052</v>
      </c>
      <c r="B209" s="6" t="str">
        <f aca="false">Sheet2_Cleaned_Data!B209</f>
        <v>2025-01-01</v>
      </c>
      <c r="C209" s="6" t="str">
        <f aca="false">Sheet2_Cleaned_Data!D209</f>
        <v>Mall</v>
      </c>
      <c r="D209" s="7" t="n">
        <f aca="false">IF($C209="Airport",1,0)</f>
        <v>0</v>
      </c>
      <c r="E209" s="7" t="n">
        <f aca="false">IF($C209="Mall",1,0)</f>
        <v>1</v>
      </c>
      <c r="F209" s="7" t="n">
        <f aca="false">IF($C209="Residential",1,0)</f>
        <v>0</v>
      </c>
    </row>
    <row r="210" customFormat="false" ht="15" hidden="false" customHeight="false" outlineLevel="0" collapsed="false">
      <c r="A210" s="6" t="str">
        <f aca="false">Sheet2_Cleaned_Data!A210</f>
        <v>STR-1052</v>
      </c>
      <c r="B210" s="6" t="str">
        <f aca="false">Sheet2_Cleaned_Data!B210</f>
        <v>2025-02-01</v>
      </c>
      <c r="C210" s="6" t="str">
        <f aca="false">Sheet2_Cleaned_Data!D210</f>
        <v>Mall</v>
      </c>
      <c r="D210" s="7" t="n">
        <f aca="false">IF($C210="Airport",1,0)</f>
        <v>0</v>
      </c>
      <c r="E210" s="7" t="n">
        <f aca="false">IF($C210="Mall",1,0)</f>
        <v>1</v>
      </c>
      <c r="F210" s="7" t="n">
        <f aca="false">IF($C210="Residential",1,0)</f>
        <v>0</v>
      </c>
    </row>
    <row r="211" customFormat="false" ht="15" hidden="false" customHeight="false" outlineLevel="0" collapsed="false">
      <c r="A211" s="6" t="str">
        <f aca="false">Sheet2_Cleaned_Data!A211</f>
        <v>STR-1052</v>
      </c>
      <c r="B211" s="6" t="str">
        <f aca="false">Sheet2_Cleaned_Data!B211</f>
        <v>2025-03-01</v>
      </c>
      <c r="C211" s="6" t="str">
        <f aca="false">Sheet2_Cleaned_Data!D211</f>
        <v>Mall</v>
      </c>
      <c r="D211" s="7" t="n">
        <f aca="false">IF($C211="Airport",1,0)</f>
        <v>0</v>
      </c>
      <c r="E211" s="7" t="n">
        <f aca="false">IF($C211="Mall",1,0)</f>
        <v>1</v>
      </c>
      <c r="F211" s="7" t="n">
        <f aca="false">IF($C211="Residential",1,0)</f>
        <v>0</v>
      </c>
    </row>
    <row r="212" customFormat="false" ht="15" hidden="false" customHeight="false" outlineLevel="0" collapsed="false">
      <c r="A212" s="6" t="str">
        <f aca="false">Sheet2_Cleaned_Data!A212</f>
        <v>STR-1052</v>
      </c>
      <c r="B212" s="6" t="str">
        <f aca="false">Sheet2_Cleaned_Data!B212</f>
        <v>2025-04-01</v>
      </c>
      <c r="C212" s="6" t="str">
        <f aca="false">Sheet2_Cleaned_Data!D212</f>
        <v>Mall</v>
      </c>
      <c r="D212" s="7" t="n">
        <f aca="false">IF($C212="Airport",1,0)</f>
        <v>0</v>
      </c>
      <c r="E212" s="7" t="n">
        <f aca="false">IF($C212="Mall",1,0)</f>
        <v>1</v>
      </c>
      <c r="F212" s="7" t="n">
        <f aca="false">IF($C212="Residential",1,0)</f>
        <v>0</v>
      </c>
    </row>
    <row r="213" customFormat="false" ht="15" hidden="false" customHeight="false" outlineLevel="0" collapsed="false">
      <c r="A213" s="6" t="str">
        <f aca="false">Sheet2_Cleaned_Data!A213</f>
        <v>STR-1053</v>
      </c>
      <c r="B213" s="6" t="str">
        <f aca="false">Sheet2_Cleaned_Data!B213</f>
        <v>2025-01-01</v>
      </c>
      <c r="C213" s="6" t="str">
        <f aca="false">Sheet2_Cleaned_Data!D213</f>
        <v>High Street</v>
      </c>
      <c r="D213" s="7" t="n">
        <f aca="false">IF($C213="Airport",1,0)</f>
        <v>0</v>
      </c>
      <c r="E213" s="7" t="n">
        <f aca="false">IF($C213="Mall",1,0)</f>
        <v>0</v>
      </c>
      <c r="F213" s="7" t="n">
        <f aca="false">IF($C213="Residential",1,0)</f>
        <v>0</v>
      </c>
    </row>
    <row r="214" customFormat="false" ht="15" hidden="false" customHeight="false" outlineLevel="0" collapsed="false">
      <c r="A214" s="6" t="str">
        <f aca="false">Sheet2_Cleaned_Data!A214</f>
        <v>STR-1053</v>
      </c>
      <c r="B214" s="6" t="str">
        <f aca="false">Sheet2_Cleaned_Data!B214</f>
        <v>2025-02-01</v>
      </c>
      <c r="C214" s="6" t="str">
        <f aca="false">Sheet2_Cleaned_Data!D214</f>
        <v>High Street</v>
      </c>
      <c r="D214" s="7" t="n">
        <f aca="false">IF($C214="Airport",1,0)</f>
        <v>0</v>
      </c>
      <c r="E214" s="7" t="n">
        <f aca="false">IF($C214="Mall",1,0)</f>
        <v>0</v>
      </c>
      <c r="F214" s="7" t="n">
        <f aca="false">IF($C214="Residential",1,0)</f>
        <v>0</v>
      </c>
    </row>
    <row r="215" customFormat="false" ht="15" hidden="false" customHeight="false" outlineLevel="0" collapsed="false">
      <c r="A215" s="6" t="str">
        <f aca="false">Sheet2_Cleaned_Data!A215</f>
        <v>STR-1053</v>
      </c>
      <c r="B215" s="6" t="str">
        <f aca="false">Sheet2_Cleaned_Data!B215</f>
        <v>2025-03-01</v>
      </c>
      <c r="C215" s="6" t="str">
        <f aca="false">Sheet2_Cleaned_Data!D215</f>
        <v>High Street</v>
      </c>
      <c r="D215" s="7" t="n">
        <f aca="false">IF($C215="Airport",1,0)</f>
        <v>0</v>
      </c>
      <c r="E215" s="7" t="n">
        <f aca="false">IF($C215="Mall",1,0)</f>
        <v>0</v>
      </c>
      <c r="F215" s="7" t="n">
        <f aca="false">IF($C215="Residential",1,0)</f>
        <v>0</v>
      </c>
    </row>
    <row r="216" customFormat="false" ht="15" hidden="false" customHeight="false" outlineLevel="0" collapsed="false">
      <c r="A216" s="6" t="str">
        <f aca="false">Sheet2_Cleaned_Data!A216</f>
        <v>STR-1053</v>
      </c>
      <c r="B216" s="6" t="str">
        <f aca="false">Sheet2_Cleaned_Data!B216</f>
        <v>2025-04-01</v>
      </c>
      <c r="C216" s="6" t="str">
        <f aca="false">Sheet2_Cleaned_Data!D216</f>
        <v>High Street</v>
      </c>
      <c r="D216" s="7" t="n">
        <f aca="false">IF($C216="Airport",1,0)</f>
        <v>0</v>
      </c>
      <c r="E216" s="7" t="n">
        <f aca="false">IF($C216="Mall",1,0)</f>
        <v>0</v>
      </c>
      <c r="F216" s="7" t="n">
        <f aca="false">IF($C216="Residential",1,0)</f>
        <v>0</v>
      </c>
    </row>
    <row r="217" customFormat="false" ht="15" hidden="false" customHeight="false" outlineLevel="0" collapsed="false">
      <c r="A217" s="6" t="str">
        <f aca="false">Sheet2_Cleaned_Data!A217</f>
        <v>STR-1054</v>
      </c>
      <c r="B217" s="6" t="str">
        <f aca="false">Sheet2_Cleaned_Data!B217</f>
        <v>2025-01-01</v>
      </c>
      <c r="C217" s="6" t="str">
        <f aca="false">Sheet2_Cleaned_Data!D217</f>
        <v>Residential</v>
      </c>
      <c r="D217" s="7" t="n">
        <f aca="false">IF($C217="Airport",1,0)</f>
        <v>0</v>
      </c>
      <c r="E217" s="7" t="n">
        <f aca="false">IF($C217="Mall",1,0)</f>
        <v>0</v>
      </c>
      <c r="F217" s="7" t="n">
        <f aca="false">IF($C217="Residential",1,0)</f>
        <v>1</v>
      </c>
    </row>
    <row r="218" customFormat="false" ht="15" hidden="false" customHeight="false" outlineLevel="0" collapsed="false">
      <c r="A218" s="6" t="str">
        <f aca="false">Sheet2_Cleaned_Data!A218</f>
        <v>STR-1054</v>
      </c>
      <c r="B218" s="6" t="str">
        <f aca="false">Sheet2_Cleaned_Data!B218</f>
        <v>2025-02-01</v>
      </c>
      <c r="C218" s="6" t="str">
        <f aca="false">Sheet2_Cleaned_Data!D218</f>
        <v>Residential</v>
      </c>
      <c r="D218" s="7" t="n">
        <f aca="false">IF($C218="Airport",1,0)</f>
        <v>0</v>
      </c>
      <c r="E218" s="7" t="n">
        <f aca="false">IF($C218="Mall",1,0)</f>
        <v>0</v>
      </c>
      <c r="F218" s="7" t="n">
        <f aca="false">IF($C218="Residential",1,0)</f>
        <v>1</v>
      </c>
    </row>
    <row r="219" customFormat="false" ht="15" hidden="false" customHeight="false" outlineLevel="0" collapsed="false">
      <c r="A219" s="6" t="str">
        <f aca="false">Sheet2_Cleaned_Data!A219</f>
        <v>STR-1054</v>
      </c>
      <c r="B219" s="6" t="str">
        <f aca="false">Sheet2_Cleaned_Data!B219</f>
        <v>2025-03-01</v>
      </c>
      <c r="C219" s="6" t="str">
        <f aca="false">Sheet2_Cleaned_Data!D219</f>
        <v>Residential</v>
      </c>
      <c r="D219" s="7" t="n">
        <f aca="false">IF($C219="Airport",1,0)</f>
        <v>0</v>
      </c>
      <c r="E219" s="7" t="n">
        <f aca="false">IF($C219="Mall",1,0)</f>
        <v>0</v>
      </c>
      <c r="F219" s="7" t="n">
        <f aca="false">IF($C219="Residential",1,0)</f>
        <v>1</v>
      </c>
    </row>
    <row r="220" customFormat="false" ht="15" hidden="false" customHeight="false" outlineLevel="0" collapsed="false">
      <c r="A220" s="6" t="str">
        <f aca="false">Sheet2_Cleaned_Data!A220</f>
        <v>STR-1054</v>
      </c>
      <c r="B220" s="6" t="str">
        <f aca="false">Sheet2_Cleaned_Data!B220</f>
        <v>2025-04-01</v>
      </c>
      <c r="C220" s="6" t="str">
        <f aca="false">Sheet2_Cleaned_Data!D220</f>
        <v>Residential</v>
      </c>
      <c r="D220" s="7" t="n">
        <f aca="false">IF($C220="Airport",1,0)</f>
        <v>0</v>
      </c>
      <c r="E220" s="7" t="n">
        <f aca="false">IF($C220="Mall",1,0)</f>
        <v>0</v>
      </c>
      <c r="F220" s="7" t="n">
        <f aca="false">IF($C220="Residential",1,0)</f>
        <v>1</v>
      </c>
    </row>
    <row r="221" customFormat="false" ht="15" hidden="false" customHeight="false" outlineLevel="0" collapsed="false">
      <c r="A221" s="6" t="str">
        <f aca="false">Sheet2_Cleaned_Data!A221</f>
        <v>STR-1055</v>
      </c>
      <c r="B221" s="6" t="str">
        <f aca="false">Sheet2_Cleaned_Data!B221</f>
        <v>2025-01-01</v>
      </c>
      <c r="C221" s="6" t="str">
        <f aca="false">Sheet2_Cleaned_Data!D221</f>
        <v>Airport</v>
      </c>
      <c r="D221" s="7" t="n">
        <f aca="false">IF($C221="Airport",1,0)</f>
        <v>1</v>
      </c>
      <c r="E221" s="7" t="n">
        <f aca="false">IF($C221="Mall",1,0)</f>
        <v>0</v>
      </c>
      <c r="F221" s="7" t="n">
        <f aca="false">IF($C221="Residential",1,0)</f>
        <v>0</v>
      </c>
    </row>
    <row r="222" customFormat="false" ht="15" hidden="false" customHeight="false" outlineLevel="0" collapsed="false">
      <c r="A222" s="6" t="str">
        <f aca="false">Sheet2_Cleaned_Data!A222</f>
        <v>STR-1055</v>
      </c>
      <c r="B222" s="6" t="str">
        <f aca="false">Sheet2_Cleaned_Data!B222</f>
        <v>2025-02-01</v>
      </c>
      <c r="C222" s="6" t="str">
        <f aca="false">Sheet2_Cleaned_Data!D222</f>
        <v>Airport</v>
      </c>
      <c r="D222" s="7" t="n">
        <f aca="false">IF($C222="Airport",1,0)</f>
        <v>1</v>
      </c>
      <c r="E222" s="7" t="n">
        <f aca="false">IF($C222="Mall",1,0)</f>
        <v>0</v>
      </c>
      <c r="F222" s="7" t="n">
        <f aca="false">IF($C222="Residential",1,0)</f>
        <v>0</v>
      </c>
    </row>
    <row r="223" customFormat="false" ht="15" hidden="false" customHeight="false" outlineLevel="0" collapsed="false">
      <c r="A223" s="6" t="str">
        <f aca="false">Sheet2_Cleaned_Data!A223</f>
        <v>STR-1055</v>
      </c>
      <c r="B223" s="6" t="str">
        <f aca="false">Sheet2_Cleaned_Data!B223</f>
        <v>2025-03-01</v>
      </c>
      <c r="C223" s="6" t="str">
        <f aca="false">Sheet2_Cleaned_Data!D223</f>
        <v>Airport</v>
      </c>
      <c r="D223" s="7" t="n">
        <f aca="false">IF($C223="Airport",1,0)</f>
        <v>1</v>
      </c>
      <c r="E223" s="7" t="n">
        <f aca="false">IF($C223="Mall",1,0)</f>
        <v>0</v>
      </c>
      <c r="F223" s="7" t="n">
        <f aca="false">IF($C223="Residential",1,0)</f>
        <v>0</v>
      </c>
    </row>
    <row r="224" customFormat="false" ht="15" hidden="false" customHeight="false" outlineLevel="0" collapsed="false">
      <c r="A224" s="6" t="str">
        <f aca="false">Sheet2_Cleaned_Data!A224</f>
        <v>STR-1055</v>
      </c>
      <c r="B224" s="6" t="str">
        <f aca="false">Sheet2_Cleaned_Data!B224</f>
        <v>2025-04-01</v>
      </c>
      <c r="C224" s="6" t="str">
        <f aca="false">Sheet2_Cleaned_Data!D224</f>
        <v>Airport</v>
      </c>
      <c r="D224" s="7" t="n">
        <f aca="false">IF($C224="Airport",1,0)</f>
        <v>1</v>
      </c>
      <c r="E224" s="7" t="n">
        <f aca="false">IF($C224="Mall",1,0)</f>
        <v>0</v>
      </c>
      <c r="F224" s="7" t="n">
        <f aca="false">IF($C224="Residential",1,0)</f>
        <v>0</v>
      </c>
    </row>
    <row r="225" customFormat="false" ht="15" hidden="false" customHeight="false" outlineLevel="0" collapsed="false">
      <c r="A225" s="6" t="str">
        <f aca="false">Sheet2_Cleaned_Data!A225</f>
        <v>STR-1056</v>
      </c>
      <c r="B225" s="6" t="str">
        <f aca="false">Sheet2_Cleaned_Data!B225</f>
        <v>2025-01-01</v>
      </c>
      <c r="C225" s="6" t="str">
        <f aca="false">Sheet2_Cleaned_Data!D225</f>
        <v>High Street</v>
      </c>
      <c r="D225" s="7" t="n">
        <f aca="false">IF($C225="Airport",1,0)</f>
        <v>0</v>
      </c>
      <c r="E225" s="7" t="n">
        <f aca="false">IF($C225="Mall",1,0)</f>
        <v>0</v>
      </c>
      <c r="F225" s="7" t="n">
        <f aca="false">IF($C225="Residential",1,0)</f>
        <v>0</v>
      </c>
    </row>
    <row r="226" customFormat="false" ht="15" hidden="false" customHeight="false" outlineLevel="0" collapsed="false">
      <c r="A226" s="6" t="str">
        <f aca="false">Sheet2_Cleaned_Data!A226</f>
        <v>STR-1056</v>
      </c>
      <c r="B226" s="6" t="str">
        <f aca="false">Sheet2_Cleaned_Data!B226</f>
        <v>2025-02-01</v>
      </c>
      <c r="C226" s="6" t="str">
        <f aca="false">Sheet2_Cleaned_Data!D226</f>
        <v>High Street</v>
      </c>
      <c r="D226" s="7" t="n">
        <f aca="false">IF($C226="Airport",1,0)</f>
        <v>0</v>
      </c>
      <c r="E226" s="7" t="n">
        <f aca="false">IF($C226="Mall",1,0)</f>
        <v>0</v>
      </c>
      <c r="F226" s="7" t="n">
        <f aca="false">IF($C226="Residential",1,0)</f>
        <v>0</v>
      </c>
    </row>
    <row r="227" customFormat="false" ht="15" hidden="false" customHeight="false" outlineLevel="0" collapsed="false">
      <c r="A227" s="6" t="str">
        <f aca="false">Sheet2_Cleaned_Data!A227</f>
        <v>STR-1056</v>
      </c>
      <c r="B227" s="6" t="str">
        <f aca="false">Sheet2_Cleaned_Data!B227</f>
        <v>2025-03-01</v>
      </c>
      <c r="C227" s="6" t="str">
        <f aca="false">Sheet2_Cleaned_Data!D227</f>
        <v>High Street</v>
      </c>
      <c r="D227" s="7" t="n">
        <f aca="false">IF($C227="Airport",1,0)</f>
        <v>0</v>
      </c>
      <c r="E227" s="7" t="n">
        <f aca="false">IF($C227="Mall",1,0)</f>
        <v>0</v>
      </c>
      <c r="F227" s="7" t="n">
        <f aca="false">IF($C227="Residential",1,0)</f>
        <v>0</v>
      </c>
    </row>
    <row r="228" customFormat="false" ht="15" hidden="false" customHeight="false" outlineLevel="0" collapsed="false">
      <c r="A228" s="6" t="str">
        <f aca="false">Sheet2_Cleaned_Data!A228</f>
        <v>STR-1056</v>
      </c>
      <c r="B228" s="6" t="str">
        <f aca="false">Sheet2_Cleaned_Data!B228</f>
        <v>2025-04-01</v>
      </c>
      <c r="C228" s="6" t="str">
        <f aca="false">Sheet2_Cleaned_Data!D228</f>
        <v>High Street</v>
      </c>
      <c r="D228" s="7" t="n">
        <f aca="false">IF($C228="Airport",1,0)</f>
        <v>0</v>
      </c>
      <c r="E228" s="7" t="n">
        <f aca="false">IF($C228="Mall",1,0)</f>
        <v>0</v>
      </c>
      <c r="F228" s="7" t="n">
        <f aca="false">IF($C228="Residential",1,0)</f>
        <v>0</v>
      </c>
    </row>
    <row r="229" customFormat="false" ht="15" hidden="false" customHeight="false" outlineLevel="0" collapsed="false">
      <c r="A229" s="6" t="str">
        <f aca="false">Sheet2_Cleaned_Data!A229</f>
        <v>STR-1057</v>
      </c>
      <c r="B229" s="6" t="str">
        <f aca="false">Sheet2_Cleaned_Data!B229</f>
        <v>2025-01-01</v>
      </c>
      <c r="C229" s="6" t="str">
        <f aca="false">Sheet2_Cleaned_Data!D229</f>
        <v>Mall</v>
      </c>
      <c r="D229" s="7" t="n">
        <f aca="false">IF($C229="Airport",1,0)</f>
        <v>0</v>
      </c>
      <c r="E229" s="7" t="n">
        <f aca="false">IF($C229="Mall",1,0)</f>
        <v>1</v>
      </c>
      <c r="F229" s="7" t="n">
        <f aca="false">IF($C229="Residential",1,0)</f>
        <v>0</v>
      </c>
    </row>
    <row r="230" customFormat="false" ht="15" hidden="false" customHeight="false" outlineLevel="0" collapsed="false">
      <c r="A230" s="6" t="str">
        <f aca="false">Sheet2_Cleaned_Data!A230</f>
        <v>STR-1057</v>
      </c>
      <c r="B230" s="6" t="str">
        <f aca="false">Sheet2_Cleaned_Data!B230</f>
        <v>2025-02-01</v>
      </c>
      <c r="C230" s="6" t="str">
        <f aca="false">Sheet2_Cleaned_Data!D230</f>
        <v>Mall</v>
      </c>
      <c r="D230" s="7" t="n">
        <f aca="false">IF($C230="Airport",1,0)</f>
        <v>0</v>
      </c>
      <c r="E230" s="7" t="n">
        <f aca="false">IF($C230="Mall",1,0)</f>
        <v>1</v>
      </c>
      <c r="F230" s="7" t="n">
        <f aca="false">IF($C230="Residential",1,0)</f>
        <v>0</v>
      </c>
    </row>
    <row r="231" customFormat="false" ht="15" hidden="false" customHeight="false" outlineLevel="0" collapsed="false">
      <c r="A231" s="6" t="str">
        <f aca="false">Sheet2_Cleaned_Data!A231</f>
        <v>STR-1057</v>
      </c>
      <c r="B231" s="6" t="str">
        <f aca="false">Sheet2_Cleaned_Data!B231</f>
        <v>2025-03-01</v>
      </c>
      <c r="C231" s="6" t="str">
        <f aca="false">Sheet2_Cleaned_Data!D231</f>
        <v>Mall</v>
      </c>
      <c r="D231" s="7" t="n">
        <f aca="false">IF($C231="Airport",1,0)</f>
        <v>0</v>
      </c>
      <c r="E231" s="7" t="n">
        <f aca="false">IF($C231="Mall",1,0)</f>
        <v>1</v>
      </c>
      <c r="F231" s="7" t="n">
        <f aca="false">IF($C231="Residential",1,0)</f>
        <v>0</v>
      </c>
    </row>
    <row r="232" customFormat="false" ht="15" hidden="false" customHeight="false" outlineLevel="0" collapsed="false">
      <c r="A232" s="6" t="str">
        <f aca="false">Sheet2_Cleaned_Data!A232</f>
        <v>STR-1057</v>
      </c>
      <c r="B232" s="6" t="str">
        <f aca="false">Sheet2_Cleaned_Data!B232</f>
        <v>2025-04-01</v>
      </c>
      <c r="C232" s="6" t="str">
        <f aca="false">Sheet2_Cleaned_Data!D232</f>
        <v>Mall</v>
      </c>
      <c r="D232" s="7" t="n">
        <f aca="false">IF($C232="Airport",1,0)</f>
        <v>0</v>
      </c>
      <c r="E232" s="7" t="n">
        <f aca="false">IF($C232="Mall",1,0)</f>
        <v>1</v>
      </c>
      <c r="F232" s="7" t="n">
        <f aca="false">IF($C232="Residential",1,0)</f>
        <v>0</v>
      </c>
    </row>
    <row r="233" customFormat="false" ht="15" hidden="false" customHeight="false" outlineLevel="0" collapsed="false">
      <c r="A233" s="6" t="str">
        <f aca="false">Sheet2_Cleaned_Data!A233</f>
        <v>STR-1058</v>
      </c>
      <c r="B233" s="6" t="str">
        <f aca="false">Sheet2_Cleaned_Data!B233</f>
        <v>2025-01-01</v>
      </c>
      <c r="C233" s="6" t="str">
        <f aca="false">Sheet2_Cleaned_Data!D233</f>
        <v>High Street</v>
      </c>
      <c r="D233" s="7" t="n">
        <f aca="false">IF($C233="Airport",1,0)</f>
        <v>0</v>
      </c>
      <c r="E233" s="7" t="n">
        <f aca="false">IF($C233="Mall",1,0)</f>
        <v>0</v>
      </c>
      <c r="F233" s="7" t="n">
        <f aca="false">IF($C233="Residential",1,0)</f>
        <v>0</v>
      </c>
    </row>
    <row r="234" customFormat="false" ht="15" hidden="false" customHeight="false" outlineLevel="0" collapsed="false">
      <c r="A234" s="6" t="str">
        <f aca="false">Sheet2_Cleaned_Data!A234</f>
        <v>STR-1058</v>
      </c>
      <c r="B234" s="6" t="str">
        <f aca="false">Sheet2_Cleaned_Data!B234</f>
        <v>2025-02-01</v>
      </c>
      <c r="C234" s="6" t="str">
        <f aca="false">Sheet2_Cleaned_Data!D234</f>
        <v>High Street</v>
      </c>
      <c r="D234" s="7" t="n">
        <f aca="false">IF($C234="Airport",1,0)</f>
        <v>0</v>
      </c>
      <c r="E234" s="7" t="n">
        <f aca="false">IF($C234="Mall",1,0)</f>
        <v>0</v>
      </c>
      <c r="F234" s="7" t="n">
        <f aca="false">IF($C234="Residential",1,0)</f>
        <v>0</v>
      </c>
    </row>
    <row r="235" customFormat="false" ht="15" hidden="false" customHeight="false" outlineLevel="0" collapsed="false">
      <c r="A235" s="6" t="str">
        <f aca="false">Sheet2_Cleaned_Data!A235</f>
        <v>STR-1058</v>
      </c>
      <c r="B235" s="6" t="str">
        <f aca="false">Sheet2_Cleaned_Data!B235</f>
        <v>2025-03-01</v>
      </c>
      <c r="C235" s="6" t="str">
        <f aca="false">Sheet2_Cleaned_Data!D235</f>
        <v>High Street</v>
      </c>
      <c r="D235" s="7" t="n">
        <f aca="false">IF($C235="Airport",1,0)</f>
        <v>0</v>
      </c>
      <c r="E235" s="7" t="n">
        <f aca="false">IF($C235="Mall",1,0)</f>
        <v>0</v>
      </c>
      <c r="F235" s="7" t="n">
        <f aca="false">IF($C235="Residential",1,0)</f>
        <v>0</v>
      </c>
    </row>
    <row r="236" customFormat="false" ht="15" hidden="false" customHeight="false" outlineLevel="0" collapsed="false">
      <c r="A236" s="6" t="str">
        <f aca="false">Sheet2_Cleaned_Data!A236</f>
        <v>STR-1058</v>
      </c>
      <c r="B236" s="6" t="str">
        <f aca="false">Sheet2_Cleaned_Data!B236</f>
        <v>2025-04-01</v>
      </c>
      <c r="C236" s="6" t="str">
        <f aca="false">Sheet2_Cleaned_Data!D236</f>
        <v>High Street</v>
      </c>
      <c r="D236" s="7" t="n">
        <f aca="false">IF($C236="Airport",1,0)</f>
        <v>0</v>
      </c>
      <c r="E236" s="7" t="n">
        <f aca="false">IF($C236="Mall",1,0)</f>
        <v>0</v>
      </c>
      <c r="F236" s="7" t="n">
        <f aca="false">IF($C236="Residential",1,0)</f>
        <v>0</v>
      </c>
    </row>
    <row r="237" customFormat="false" ht="15" hidden="false" customHeight="false" outlineLevel="0" collapsed="false">
      <c r="A237" s="6" t="str">
        <f aca="false">Sheet2_Cleaned_Data!A237</f>
        <v>STR-1059</v>
      </c>
      <c r="B237" s="6" t="str">
        <f aca="false">Sheet2_Cleaned_Data!B237</f>
        <v>2025-01-01</v>
      </c>
      <c r="C237" s="6" t="str">
        <f aca="false">Sheet2_Cleaned_Data!D237</f>
        <v>Residential</v>
      </c>
      <c r="D237" s="7" t="n">
        <f aca="false">IF($C237="Airport",1,0)</f>
        <v>0</v>
      </c>
      <c r="E237" s="7" t="n">
        <f aca="false">IF($C237="Mall",1,0)</f>
        <v>0</v>
      </c>
      <c r="F237" s="7" t="n">
        <f aca="false">IF($C237="Residential",1,0)</f>
        <v>1</v>
      </c>
    </row>
    <row r="238" customFormat="false" ht="15" hidden="false" customHeight="false" outlineLevel="0" collapsed="false">
      <c r="A238" s="6" t="str">
        <f aca="false">Sheet2_Cleaned_Data!A238</f>
        <v>STR-1059</v>
      </c>
      <c r="B238" s="6" t="str">
        <f aca="false">Sheet2_Cleaned_Data!B238</f>
        <v>2025-02-01</v>
      </c>
      <c r="C238" s="6" t="str">
        <f aca="false">Sheet2_Cleaned_Data!D238</f>
        <v>Residential</v>
      </c>
      <c r="D238" s="7" t="n">
        <f aca="false">IF($C238="Airport",1,0)</f>
        <v>0</v>
      </c>
      <c r="E238" s="7" t="n">
        <f aca="false">IF($C238="Mall",1,0)</f>
        <v>0</v>
      </c>
      <c r="F238" s="7" t="n">
        <f aca="false">IF($C238="Residential",1,0)</f>
        <v>1</v>
      </c>
    </row>
    <row r="239" customFormat="false" ht="15" hidden="false" customHeight="false" outlineLevel="0" collapsed="false">
      <c r="A239" s="6" t="str">
        <f aca="false">Sheet2_Cleaned_Data!A239</f>
        <v>STR-1059</v>
      </c>
      <c r="B239" s="6" t="str">
        <f aca="false">Sheet2_Cleaned_Data!B239</f>
        <v>2025-03-01</v>
      </c>
      <c r="C239" s="6" t="str">
        <f aca="false">Sheet2_Cleaned_Data!D239</f>
        <v>Residential</v>
      </c>
      <c r="D239" s="7" t="n">
        <f aca="false">IF($C239="Airport",1,0)</f>
        <v>0</v>
      </c>
      <c r="E239" s="7" t="n">
        <f aca="false">IF($C239="Mall",1,0)</f>
        <v>0</v>
      </c>
      <c r="F239" s="7" t="n">
        <f aca="false">IF($C239="Residential",1,0)</f>
        <v>1</v>
      </c>
    </row>
    <row r="240" customFormat="false" ht="15" hidden="false" customHeight="false" outlineLevel="0" collapsed="false">
      <c r="A240" s="6" t="str">
        <f aca="false">Sheet2_Cleaned_Data!A240</f>
        <v>STR-1059</v>
      </c>
      <c r="B240" s="6" t="str">
        <f aca="false">Sheet2_Cleaned_Data!B240</f>
        <v>2025-04-01</v>
      </c>
      <c r="C240" s="6" t="str">
        <f aca="false">Sheet2_Cleaned_Data!D240</f>
        <v>Residential</v>
      </c>
      <c r="D240" s="7" t="n">
        <f aca="false">IF($C240="Airport",1,0)</f>
        <v>0</v>
      </c>
      <c r="E240" s="7" t="n">
        <f aca="false">IF($C240="Mall",1,0)</f>
        <v>0</v>
      </c>
      <c r="F240" s="7" t="n">
        <f aca="false">IF($C240="Residential",1,0)</f>
        <v>1</v>
      </c>
    </row>
    <row r="241" customFormat="false" ht="15" hidden="false" customHeight="false" outlineLevel="0" collapsed="false">
      <c r="A241" s="6" t="str">
        <f aca="false">Sheet2_Cleaned_Data!A241</f>
        <v>STR-1060</v>
      </c>
      <c r="B241" s="6" t="str">
        <f aca="false">Sheet2_Cleaned_Data!B241</f>
        <v>2025-01-01</v>
      </c>
      <c r="C241" s="6" t="str">
        <f aca="false">Sheet2_Cleaned_Data!D241</f>
        <v>Mall</v>
      </c>
      <c r="D241" s="7" t="n">
        <f aca="false">IF($C241="Airport",1,0)</f>
        <v>0</v>
      </c>
      <c r="E241" s="7" t="n">
        <f aca="false">IF($C241="Mall",1,0)</f>
        <v>1</v>
      </c>
      <c r="F241" s="7" t="n">
        <f aca="false">IF($C241="Residential",1,0)</f>
        <v>0</v>
      </c>
    </row>
    <row r="242" customFormat="false" ht="15" hidden="false" customHeight="false" outlineLevel="0" collapsed="false">
      <c r="A242" s="6" t="str">
        <f aca="false">Sheet2_Cleaned_Data!A242</f>
        <v>STR-1060</v>
      </c>
      <c r="B242" s="6" t="str">
        <f aca="false">Sheet2_Cleaned_Data!B242</f>
        <v>2025-02-01</v>
      </c>
      <c r="C242" s="6" t="str">
        <f aca="false">Sheet2_Cleaned_Data!D242</f>
        <v>Mall</v>
      </c>
      <c r="D242" s="7" t="n">
        <f aca="false">IF($C242="Airport",1,0)</f>
        <v>0</v>
      </c>
      <c r="E242" s="7" t="n">
        <f aca="false">IF($C242="Mall",1,0)</f>
        <v>1</v>
      </c>
      <c r="F242" s="7" t="n">
        <f aca="false">IF($C242="Residential",1,0)</f>
        <v>0</v>
      </c>
    </row>
    <row r="243" customFormat="false" ht="15" hidden="false" customHeight="false" outlineLevel="0" collapsed="false">
      <c r="A243" s="6" t="str">
        <f aca="false">Sheet2_Cleaned_Data!A243</f>
        <v>STR-1060</v>
      </c>
      <c r="B243" s="6" t="str">
        <f aca="false">Sheet2_Cleaned_Data!B243</f>
        <v>2025-03-01</v>
      </c>
      <c r="C243" s="6" t="str">
        <f aca="false">Sheet2_Cleaned_Data!D243</f>
        <v>Mall</v>
      </c>
      <c r="D243" s="7" t="n">
        <f aca="false">IF($C243="Airport",1,0)</f>
        <v>0</v>
      </c>
      <c r="E243" s="7" t="n">
        <f aca="false">IF($C243="Mall",1,0)</f>
        <v>1</v>
      </c>
      <c r="F243" s="7" t="n">
        <f aca="false">IF($C243="Residential",1,0)</f>
        <v>0</v>
      </c>
    </row>
    <row r="244" customFormat="false" ht="15" hidden="false" customHeight="false" outlineLevel="0" collapsed="false">
      <c r="A244" s="6" t="str">
        <f aca="false">Sheet2_Cleaned_Data!A244</f>
        <v>STR-1060</v>
      </c>
      <c r="B244" s="6" t="str">
        <f aca="false">Sheet2_Cleaned_Data!B244</f>
        <v>2025-04-01</v>
      </c>
      <c r="C244" s="6" t="str">
        <f aca="false">Sheet2_Cleaned_Data!D244</f>
        <v>Mall</v>
      </c>
      <c r="D244" s="7" t="n">
        <f aca="false">IF($C244="Airport",1,0)</f>
        <v>0</v>
      </c>
      <c r="E244" s="7" t="n">
        <f aca="false">IF($C244="Mall",1,0)</f>
        <v>1</v>
      </c>
      <c r="F244" s="7" t="n">
        <f aca="false">IF($C244="Residential",1,0)</f>
        <v>0</v>
      </c>
    </row>
    <row r="245" customFormat="false" ht="15" hidden="false" customHeight="false" outlineLevel="0" collapsed="false">
      <c r="A245" s="6" t="str">
        <f aca="false">Sheet2_Cleaned_Data!A245</f>
        <v>STR-1061</v>
      </c>
      <c r="B245" s="6" t="str">
        <f aca="false">Sheet2_Cleaned_Data!B245</f>
        <v>2025-01-01</v>
      </c>
      <c r="C245" s="6" t="str">
        <f aca="false">Sheet2_Cleaned_Data!D245</f>
        <v>Airport</v>
      </c>
      <c r="D245" s="7" t="n">
        <f aca="false">IF($C245="Airport",1,0)</f>
        <v>1</v>
      </c>
      <c r="E245" s="7" t="n">
        <f aca="false">IF($C245="Mall",1,0)</f>
        <v>0</v>
      </c>
      <c r="F245" s="7" t="n">
        <f aca="false">IF($C245="Residential",1,0)</f>
        <v>0</v>
      </c>
    </row>
    <row r="246" customFormat="false" ht="15" hidden="false" customHeight="false" outlineLevel="0" collapsed="false">
      <c r="A246" s="6" t="str">
        <f aca="false">Sheet2_Cleaned_Data!A246</f>
        <v>STR-1061</v>
      </c>
      <c r="B246" s="6" t="str">
        <f aca="false">Sheet2_Cleaned_Data!B246</f>
        <v>2025-02-01</v>
      </c>
      <c r="C246" s="6" t="str">
        <f aca="false">Sheet2_Cleaned_Data!D246</f>
        <v>Airport</v>
      </c>
      <c r="D246" s="7" t="n">
        <f aca="false">IF($C246="Airport",1,0)</f>
        <v>1</v>
      </c>
      <c r="E246" s="7" t="n">
        <f aca="false">IF($C246="Mall",1,0)</f>
        <v>0</v>
      </c>
      <c r="F246" s="7" t="n">
        <f aca="false">IF($C246="Residential",1,0)</f>
        <v>0</v>
      </c>
    </row>
    <row r="247" customFormat="false" ht="15" hidden="false" customHeight="false" outlineLevel="0" collapsed="false">
      <c r="A247" s="6" t="str">
        <f aca="false">Sheet2_Cleaned_Data!A247</f>
        <v>STR-1061</v>
      </c>
      <c r="B247" s="6" t="str">
        <f aca="false">Sheet2_Cleaned_Data!B247</f>
        <v>2025-03-01</v>
      </c>
      <c r="C247" s="6" t="str">
        <f aca="false">Sheet2_Cleaned_Data!D247</f>
        <v>Airport</v>
      </c>
      <c r="D247" s="7" t="n">
        <f aca="false">IF($C247="Airport",1,0)</f>
        <v>1</v>
      </c>
      <c r="E247" s="7" t="n">
        <f aca="false">IF($C247="Mall",1,0)</f>
        <v>0</v>
      </c>
      <c r="F247" s="7" t="n">
        <f aca="false">IF($C247="Residential",1,0)</f>
        <v>0</v>
      </c>
    </row>
    <row r="248" customFormat="false" ht="15" hidden="false" customHeight="false" outlineLevel="0" collapsed="false">
      <c r="A248" s="6" t="str">
        <f aca="false">Sheet2_Cleaned_Data!A248</f>
        <v>STR-1061</v>
      </c>
      <c r="B248" s="6" t="str">
        <f aca="false">Sheet2_Cleaned_Data!B248</f>
        <v>2025-04-01</v>
      </c>
      <c r="C248" s="6" t="str">
        <f aca="false">Sheet2_Cleaned_Data!D248</f>
        <v>Airport</v>
      </c>
      <c r="D248" s="7" t="n">
        <f aca="false">IF($C248="Airport",1,0)</f>
        <v>1</v>
      </c>
      <c r="E248" s="7" t="n">
        <f aca="false">IF($C248="Mall",1,0)</f>
        <v>0</v>
      </c>
      <c r="F248" s="7" t="n">
        <f aca="false">IF($C248="Residential",1,0)</f>
        <v>0</v>
      </c>
    </row>
    <row r="249" customFormat="false" ht="15" hidden="false" customHeight="false" outlineLevel="0" collapsed="false">
      <c r="A249" s="6" t="str">
        <f aca="false">Sheet2_Cleaned_Data!A249</f>
        <v>STR-1062</v>
      </c>
      <c r="B249" s="6" t="str">
        <f aca="false">Sheet2_Cleaned_Data!B249</f>
        <v>2025-01-01</v>
      </c>
      <c r="C249" s="6" t="str">
        <f aca="false">Sheet2_Cleaned_Data!D249</f>
        <v>High Street</v>
      </c>
      <c r="D249" s="7" t="n">
        <f aca="false">IF($C249="Airport",1,0)</f>
        <v>0</v>
      </c>
      <c r="E249" s="7" t="n">
        <f aca="false">IF($C249="Mall",1,0)</f>
        <v>0</v>
      </c>
      <c r="F249" s="7" t="n">
        <f aca="false">IF($C249="Residential",1,0)</f>
        <v>0</v>
      </c>
    </row>
    <row r="250" customFormat="false" ht="15" hidden="false" customHeight="false" outlineLevel="0" collapsed="false">
      <c r="A250" s="6" t="str">
        <f aca="false">Sheet2_Cleaned_Data!A250</f>
        <v>STR-1062</v>
      </c>
      <c r="B250" s="6" t="str">
        <f aca="false">Sheet2_Cleaned_Data!B250</f>
        <v>2025-02-01</v>
      </c>
      <c r="C250" s="6" t="str">
        <f aca="false">Sheet2_Cleaned_Data!D250</f>
        <v>High Street</v>
      </c>
      <c r="D250" s="7" t="n">
        <f aca="false">IF($C250="Airport",1,0)</f>
        <v>0</v>
      </c>
      <c r="E250" s="7" t="n">
        <f aca="false">IF($C250="Mall",1,0)</f>
        <v>0</v>
      </c>
      <c r="F250" s="7" t="n">
        <f aca="false">IF($C250="Residential",1,0)</f>
        <v>0</v>
      </c>
    </row>
    <row r="251" customFormat="false" ht="15" hidden="false" customHeight="false" outlineLevel="0" collapsed="false">
      <c r="A251" s="6" t="str">
        <f aca="false">Sheet2_Cleaned_Data!A251</f>
        <v>STR-1062</v>
      </c>
      <c r="B251" s="6" t="str">
        <f aca="false">Sheet2_Cleaned_Data!B251</f>
        <v>2025-03-01</v>
      </c>
      <c r="C251" s="6" t="str">
        <f aca="false">Sheet2_Cleaned_Data!D251</f>
        <v>High Street</v>
      </c>
      <c r="D251" s="7" t="n">
        <f aca="false">IF($C251="Airport",1,0)</f>
        <v>0</v>
      </c>
      <c r="E251" s="7" t="n">
        <f aca="false">IF($C251="Mall",1,0)</f>
        <v>0</v>
      </c>
      <c r="F251" s="7" t="n">
        <f aca="false">IF($C251="Residential",1,0)</f>
        <v>0</v>
      </c>
    </row>
    <row r="252" customFormat="false" ht="15" hidden="false" customHeight="false" outlineLevel="0" collapsed="false">
      <c r="A252" s="6" t="str">
        <f aca="false">Sheet2_Cleaned_Data!A252</f>
        <v>STR-1062</v>
      </c>
      <c r="B252" s="6" t="str">
        <f aca="false">Sheet2_Cleaned_Data!B252</f>
        <v>2025-04-01</v>
      </c>
      <c r="C252" s="6" t="str">
        <f aca="false">Sheet2_Cleaned_Data!D252</f>
        <v>High Street</v>
      </c>
      <c r="D252" s="7" t="n">
        <f aca="false">IF($C252="Airport",1,0)</f>
        <v>0</v>
      </c>
      <c r="E252" s="7" t="n">
        <f aca="false">IF($C252="Mall",1,0)</f>
        <v>0</v>
      </c>
      <c r="F252" s="7" t="n">
        <f aca="false">IF($C252="Residential",1,0)</f>
        <v>0</v>
      </c>
    </row>
    <row r="253" customFormat="false" ht="15" hidden="false" customHeight="false" outlineLevel="0" collapsed="false">
      <c r="A253" s="6" t="str">
        <f aca="false">Sheet2_Cleaned_Data!A253</f>
        <v>STR-1063</v>
      </c>
      <c r="B253" s="6" t="str">
        <f aca="false">Sheet2_Cleaned_Data!B253</f>
        <v>2025-01-01</v>
      </c>
      <c r="C253" s="6" t="str">
        <f aca="false">Sheet2_Cleaned_Data!D253</f>
        <v>High Street</v>
      </c>
      <c r="D253" s="7" t="n">
        <f aca="false">IF($C253="Airport",1,0)</f>
        <v>0</v>
      </c>
      <c r="E253" s="7" t="n">
        <f aca="false">IF($C253="Mall",1,0)</f>
        <v>0</v>
      </c>
      <c r="F253" s="7" t="n">
        <f aca="false">IF($C253="Residential",1,0)</f>
        <v>0</v>
      </c>
    </row>
    <row r="254" customFormat="false" ht="15" hidden="false" customHeight="false" outlineLevel="0" collapsed="false">
      <c r="A254" s="6" t="str">
        <f aca="false">Sheet2_Cleaned_Data!A254</f>
        <v>STR-1063</v>
      </c>
      <c r="B254" s="6" t="str">
        <f aca="false">Sheet2_Cleaned_Data!B254</f>
        <v>2025-02-01</v>
      </c>
      <c r="C254" s="6" t="str">
        <f aca="false">Sheet2_Cleaned_Data!D254</f>
        <v>High Street</v>
      </c>
      <c r="D254" s="7" t="n">
        <f aca="false">IF($C254="Airport",1,0)</f>
        <v>0</v>
      </c>
      <c r="E254" s="7" t="n">
        <f aca="false">IF($C254="Mall",1,0)</f>
        <v>0</v>
      </c>
      <c r="F254" s="7" t="n">
        <f aca="false">IF($C254="Residential",1,0)</f>
        <v>0</v>
      </c>
    </row>
    <row r="255" customFormat="false" ht="15" hidden="false" customHeight="false" outlineLevel="0" collapsed="false">
      <c r="A255" s="6" t="str">
        <f aca="false">Sheet2_Cleaned_Data!A255</f>
        <v>STR-1063</v>
      </c>
      <c r="B255" s="6" t="str">
        <f aca="false">Sheet2_Cleaned_Data!B255</f>
        <v>2025-03-01</v>
      </c>
      <c r="C255" s="6" t="str">
        <f aca="false">Sheet2_Cleaned_Data!D255</f>
        <v>High Street</v>
      </c>
      <c r="D255" s="7" t="n">
        <f aca="false">IF($C255="Airport",1,0)</f>
        <v>0</v>
      </c>
      <c r="E255" s="7" t="n">
        <f aca="false">IF($C255="Mall",1,0)</f>
        <v>0</v>
      </c>
      <c r="F255" s="7" t="n">
        <f aca="false">IF($C255="Residential",1,0)</f>
        <v>0</v>
      </c>
    </row>
    <row r="256" customFormat="false" ht="15" hidden="false" customHeight="false" outlineLevel="0" collapsed="false">
      <c r="A256" s="6" t="str">
        <f aca="false">Sheet2_Cleaned_Data!A256</f>
        <v>STR-1063</v>
      </c>
      <c r="B256" s="6" t="str">
        <f aca="false">Sheet2_Cleaned_Data!B256</f>
        <v>2025-04-01</v>
      </c>
      <c r="C256" s="6" t="str">
        <f aca="false">Sheet2_Cleaned_Data!D256</f>
        <v>High Street</v>
      </c>
      <c r="D256" s="7" t="n">
        <f aca="false">IF($C256="Airport",1,0)</f>
        <v>0</v>
      </c>
      <c r="E256" s="7" t="n">
        <f aca="false">IF($C256="Mall",1,0)</f>
        <v>0</v>
      </c>
      <c r="F256" s="7" t="n">
        <f aca="false">IF($C256="Residential",1,0)</f>
        <v>0</v>
      </c>
    </row>
    <row r="257" customFormat="false" ht="15" hidden="false" customHeight="false" outlineLevel="0" collapsed="false">
      <c r="A257" s="6" t="str">
        <f aca="false">Sheet2_Cleaned_Data!A257</f>
        <v>STR-1064</v>
      </c>
      <c r="B257" s="6" t="str">
        <f aca="false">Sheet2_Cleaned_Data!B257</f>
        <v>2025-01-01</v>
      </c>
      <c r="C257" s="6" t="str">
        <f aca="false">Sheet2_Cleaned_Data!D257</f>
        <v>Airport</v>
      </c>
      <c r="D257" s="7" t="n">
        <f aca="false">IF($C257="Airport",1,0)</f>
        <v>1</v>
      </c>
      <c r="E257" s="7" t="n">
        <f aca="false">IF($C257="Mall",1,0)</f>
        <v>0</v>
      </c>
      <c r="F257" s="7" t="n">
        <f aca="false">IF($C257="Residential",1,0)</f>
        <v>0</v>
      </c>
    </row>
    <row r="258" customFormat="false" ht="15" hidden="false" customHeight="false" outlineLevel="0" collapsed="false">
      <c r="A258" s="6" t="str">
        <f aca="false">Sheet2_Cleaned_Data!A258</f>
        <v>STR-1064</v>
      </c>
      <c r="B258" s="6" t="str">
        <f aca="false">Sheet2_Cleaned_Data!B258</f>
        <v>2025-02-01</v>
      </c>
      <c r="C258" s="6" t="str">
        <f aca="false">Sheet2_Cleaned_Data!D258</f>
        <v>Airport</v>
      </c>
      <c r="D258" s="7" t="n">
        <f aca="false">IF($C258="Airport",1,0)</f>
        <v>1</v>
      </c>
      <c r="E258" s="7" t="n">
        <f aca="false">IF($C258="Mall",1,0)</f>
        <v>0</v>
      </c>
      <c r="F258" s="7" t="n">
        <f aca="false">IF($C258="Residential",1,0)</f>
        <v>0</v>
      </c>
    </row>
    <row r="259" customFormat="false" ht="15" hidden="false" customHeight="false" outlineLevel="0" collapsed="false">
      <c r="A259" s="6" t="str">
        <f aca="false">Sheet2_Cleaned_Data!A259</f>
        <v>STR-1064</v>
      </c>
      <c r="B259" s="6" t="str">
        <f aca="false">Sheet2_Cleaned_Data!B259</f>
        <v>2025-03-01</v>
      </c>
      <c r="C259" s="6" t="str">
        <f aca="false">Sheet2_Cleaned_Data!D259</f>
        <v>Airport</v>
      </c>
      <c r="D259" s="7" t="n">
        <f aca="false">IF($C259="Airport",1,0)</f>
        <v>1</v>
      </c>
      <c r="E259" s="7" t="n">
        <f aca="false">IF($C259="Mall",1,0)</f>
        <v>0</v>
      </c>
      <c r="F259" s="7" t="n">
        <f aca="false">IF($C259="Residential",1,0)</f>
        <v>0</v>
      </c>
    </row>
    <row r="260" customFormat="false" ht="15" hidden="false" customHeight="false" outlineLevel="0" collapsed="false">
      <c r="A260" s="6" t="str">
        <f aca="false">Sheet2_Cleaned_Data!A260</f>
        <v>STR-1064</v>
      </c>
      <c r="B260" s="6" t="str">
        <f aca="false">Sheet2_Cleaned_Data!B260</f>
        <v>2025-04-01</v>
      </c>
      <c r="C260" s="6" t="str">
        <f aca="false">Sheet2_Cleaned_Data!D260</f>
        <v>Airport</v>
      </c>
      <c r="D260" s="7" t="n">
        <f aca="false">IF($C260="Airport",1,0)</f>
        <v>1</v>
      </c>
      <c r="E260" s="7" t="n">
        <f aca="false">IF($C260="Mall",1,0)</f>
        <v>0</v>
      </c>
      <c r="F260" s="7" t="n">
        <f aca="false">IF($C260="Residential",1,0)</f>
        <v>0</v>
      </c>
    </row>
    <row r="261" customFormat="false" ht="15" hidden="false" customHeight="false" outlineLevel="0" collapsed="false">
      <c r="A261" s="6" t="str">
        <f aca="false">Sheet2_Cleaned_Data!A261</f>
        <v>STR-1065</v>
      </c>
      <c r="B261" s="6" t="str">
        <f aca="false">Sheet2_Cleaned_Data!B261</f>
        <v>2025-01-01</v>
      </c>
      <c r="C261" s="6" t="str">
        <f aca="false">Sheet2_Cleaned_Data!D261</f>
        <v>Mall</v>
      </c>
      <c r="D261" s="7" t="n">
        <f aca="false">IF($C261="Airport",1,0)</f>
        <v>0</v>
      </c>
      <c r="E261" s="7" t="n">
        <f aca="false">IF($C261="Mall",1,0)</f>
        <v>1</v>
      </c>
      <c r="F261" s="7" t="n">
        <f aca="false">IF($C261="Residential",1,0)</f>
        <v>0</v>
      </c>
    </row>
    <row r="262" customFormat="false" ht="15" hidden="false" customHeight="false" outlineLevel="0" collapsed="false">
      <c r="A262" s="6" t="str">
        <f aca="false">Sheet2_Cleaned_Data!A262</f>
        <v>STR-1065</v>
      </c>
      <c r="B262" s="6" t="str">
        <f aca="false">Sheet2_Cleaned_Data!B262</f>
        <v>2025-02-01</v>
      </c>
      <c r="C262" s="6" t="str">
        <f aca="false">Sheet2_Cleaned_Data!D262</f>
        <v>Mall</v>
      </c>
      <c r="D262" s="7" t="n">
        <f aca="false">IF($C262="Airport",1,0)</f>
        <v>0</v>
      </c>
      <c r="E262" s="7" t="n">
        <f aca="false">IF($C262="Mall",1,0)</f>
        <v>1</v>
      </c>
      <c r="F262" s="7" t="n">
        <f aca="false">IF($C262="Residential",1,0)</f>
        <v>0</v>
      </c>
    </row>
    <row r="263" customFormat="false" ht="15" hidden="false" customHeight="false" outlineLevel="0" collapsed="false">
      <c r="A263" s="6" t="str">
        <f aca="false">Sheet2_Cleaned_Data!A263</f>
        <v>STR-1065</v>
      </c>
      <c r="B263" s="6" t="str">
        <f aca="false">Sheet2_Cleaned_Data!B263</f>
        <v>2025-03-01</v>
      </c>
      <c r="C263" s="6" t="str">
        <f aca="false">Sheet2_Cleaned_Data!D263</f>
        <v>Mall</v>
      </c>
      <c r="D263" s="7" t="n">
        <f aca="false">IF($C263="Airport",1,0)</f>
        <v>0</v>
      </c>
      <c r="E263" s="7" t="n">
        <f aca="false">IF($C263="Mall",1,0)</f>
        <v>1</v>
      </c>
      <c r="F263" s="7" t="n">
        <f aca="false">IF($C263="Residential",1,0)</f>
        <v>0</v>
      </c>
    </row>
    <row r="264" customFormat="false" ht="15" hidden="false" customHeight="false" outlineLevel="0" collapsed="false">
      <c r="A264" s="6" t="str">
        <f aca="false">Sheet2_Cleaned_Data!A264</f>
        <v>STR-1065</v>
      </c>
      <c r="B264" s="6" t="str">
        <f aca="false">Sheet2_Cleaned_Data!B264</f>
        <v>2025-04-01</v>
      </c>
      <c r="C264" s="6" t="str">
        <f aca="false">Sheet2_Cleaned_Data!D264</f>
        <v>Mall</v>
      </c>
      <c r="D264" s="7" t="n">
        <f aca="false">IF($C264="Airport",1,0)</f>
        <v>0</v>
      </c>
      <c r="E264" s="7" t="n">
        <f aca="false">IF($C264="Mall",1,0)</f>
        <v>1</v>
      </c>
      <c r="F264" s="7" t="n">
        <f aca="false">IF($C264="Residential",1,0)</f>
        <v>0</v>
      </c>
    </row>
    <row r="265" customFormat="false" ht="15" hidden="false" customHeight="false" outlineLevel="0" collapsed="false">
      <c r="A265" s="6" t="str">
        <f aca="false">Sheet2_Cleaned_Data!A265</f>
        <v>STR-1066</v>
      </c>
      <c r="B265" s="6" t="str">
        <f aca="false">Sheet2_Cleaned_Data!B265</f>
        <v>2025-01-01</v>
      </c>
      <c r="C265" s="6" t="str">
        <f aca="false">Sheet2_Cleaned_Data!D265</f>
        <v>High Street</v>
      </c>
      <c r="D265" s="7" t="n">
        <f aca="false">IF($C265="Airport",1,0)</f>
        <v>0</v>
      </c>
      <c r="E265" s="7" t="n">
        <f aca="false">IF($C265="Mall",1,0)</f>
        <v>0</v>
      </c>
      <c r="F265" s="7" t="n">
        <f aca="false">IF($C265="Residential",1,0)</f>
        <v>0</v>
      </c>
    </row>
    <row r="266" customFormat="false" ht="15" hidden="false" customHeight="false" outlineLevel="0" collapsed="false">
      <c r="A266" s="6" t="str">
        <f aca="false">Sheet2_Cleaned_Data!A266</f>
        <v>STR-1066</v>
      </c>
      <c r="B266" s="6" t="str">
        <f aca="false">Sheet2_Cleaned_Data!B266</f>
        <v>2025-02-01</v>
      </c>
      <c r="C266" s="6" t="str">
        <f aca="false">Sheet2_Cleaned_Data!D266</f>
        <v>High Street</v>
      </c>
      <c r="D266" s="7" t="n">
        <f aca="false">IF($C266="Airport",1,0)</f>
        <v>0</v>
      </c>
      <c r="E266" s="7" t="n">
        <f aca="false">IF($C266="Mall",1,0)</f>
        <v>0</v>
      </c>
      <c r="F266" s="7" t="n">
        <f aca="false">IF($C266="Residential",1,0)</f>
        <v>0</v>
      </c>
    </row>
    <row r="267" customFormat="false" ht="15" hidden="false" customHeight="false" outlineLevel="0" collapsed="false">
      <c r="A267" s="6" t="str">
        <f aca="false">Sheet2_Cleaned_Data!A267</f>
        <v>STR-1066</v>
      </c>
      <c r="B267" s="6" t="str">
        <f aca="false">Sheet2_Cleaned_Data!B267</f>
        <v>2025-03-01</v>
      </c>
      <c r="C267" s="6" t="str">
        <f aca="false">Sheet2_Cleaned_Data!D267</f>
        <v>High Street</v>
      </c>
      <c r="D267" s="7" t="n">
        <f aca="false">IF($C267="Airport",1,0)</f>
        <v>0</v>
      </c>
      <c r="E267" s="7" t="n">
        <f aca="false">IF($C267="Mall",1,0)</f>
        <v>0</v>
      </c>
      <c r="F267" s="7" t="n">
        <f aca="false">IF($C267="Residential",1,0)</f>
        <v>0</v>
      </c>
    </row>
    <row r="268" customFormat="false" ht="15" hidden="false" customHeight="false" outlineLevel="0" collapsed="false">
      <c r="A268" s="6" t="str">
        <f aca="false">Sheet2_Cleaned_Data!A268</f>
        <v>STR-1066</v>
      </c>
      <c r="B268" s="6" t="str">
        <f aca="false">Sheet2_Cleaned_Data!B268</f>
        <v>2025-04-01</v>
      </c>
      <c r="C268" s="6" t="str">
        <f aca="false">Sheet2_Cleaned_Data!D268</f>
        <v>High Street</v>
      </c>
      <c r="D268" s="7" t="n">
        <f aca="false">IF($C268="Airport",1,0)</f>
        <v>0</v>
      </c>
      <c r="E268" s="7" t="n">
        <f aca="false">IF($C268="Mall",1,0)</f>
        <v>0</v>
      </c>
      <c r="F268" s="7" t="n">
        <f aca="false">IF($C268="Residential",1,0)</f>
        <v>0</v>
      </c>
    </row>
    <row r="269" customFormat="false" ht="15" hidden="false" customHeight="false" outlineLevel="0" collapsed="false">
      <c r="A269" s="6" t="str">
        <f aca="false">Sheet2_Cleaned_Data!A269</f>
        <v>STR-1067</v>
      </c>
      <c r="B269" s="6" t="str">
        <f aca="false">Sheet2_Cleaned_Data!B269</f>
        <v>2025-01-01</v>
      </c>
      <c r="C269" s="6" t="str">
        <f aca="false">Sheet2_Cleaned_Data!D269</f>
        <v>High Street</v>
      </c>
      <c r="D269" s="7" t="n">
        <f aca="false">IF($C269="Airport",1,0)</f>
        <v>0</v>
      </c>
      <c r="E269" s="7" t="n">
        <f aca="false">IF($C269="Mall",1,0)</f>
        <v>0</v>
      </c>
      <c r="F269" s="7" t="n">
        <f aca="false">IF($C269="Residential",1,0)</f>
        <v>0</v>
      </c>
    </row>
    <row r="270" customFormat="false" ht="15" hidden="false" customHeight="false" outlineLevel="0" collapsed="false">
      <c r="A270" s="6" t="str">
        <f aca="false">Sheet2_Cleaned_Data!A270</f>
        <v>STR-1067</v>
      </c>
      <c r="B270" s="6" t="str">
        <f aca="false">Sheet2_Cleaned_Data!B270</f>
        <v>2025-02-01</v>
      </c>
      <c r="C270" s="6" t="str">
        <f aca="false">Sheet2_Cleaned_Data!D270</f>
        <v>High Street</v>
      </c>
      <c r="D270" s="7" t="n">
        <f aca="false">IF($C270="Airport",1,0)</f>
        <v>0</v>
      </c>
      <c r="E270" s="7" t="n">
        <f aca="false">IF($C270="Mall",1,0)</f>
        <v>0</v>
      </c>
      <c r="F270" s="7" t="n">
        <f aca="false">IF($C270="Residential",1,0)</f>
        <v>0</v>
      </c>
    </row>
    <row r="271" customFormat="false" ht="15" hidden="false" customHeight="false" outlineLevel="0" collapsed="false">
      <c r="A271" s="6" t="str">
        <f aca="false">Sheet2_Cleaned_Data!A271</f>
        <v>STR-1067</v>
      </c>
      <c r="B271" s="6" t="str">
        <f aca="false">Sheet2_Cleaned_Data!B271</f>
        <v>2025-03-01</v>
      </c>
      <c r="C271" s="6" t="str">
        <f aca="false">Sheet2_Cleaned_Data!D271</f>
        <v>High Street</v>
      </c>
      <c r="D271" s="7" t="n">
        <f aca="false">IF($C271="Airport",1,0)</f>
        <v>0</v>
      </c>
      <c r="E271" s="7" t="n">
        <f aca="false">IF($C271="Mall",1,0)</f>
        <v>0</v>
      </c>
      <c r="F271" s="7" t="n">
        <f aca="false">IF($C271="Residential",1,0)</f>
        <v>0</v>
      </c>
    </row>
    <row r="272" customFormat="false" ht="15" hidden="false" customHeight="false" outlineLevel="0" collapsed="false">
      <c r="A272" s="6" t="str">
        <f aca="false">Sheet2_Cleaned_Data!A272</f>
        <v>STR-1067</v>
      </c>
      <c r="B272" s="6" t="str">
        <f aca="false">Sheet2_Cleaned_Data!B272</f>
        <v>2025-04-01</v>
      </c>
      <c r="C272" s="6" t="str">
        <f aca="false">Sheet2_Cleaned_Data!D272</f>
        <v>High Street</v>
      </c>
      <c r="D272" s="7" t="n">
        <f aca="false">IF($C272="Airport",1,0)</f>
        <v>0</v>
      </c>
      <c r="E272" s="7" t="n">
        <f aca="false">IF($C272="Mall",1,0)</f>
        <v>0</v>
      </c>
      <c r="F272" s="7" t="n">
        <f aca="false">IF($C272="Residential",1,0)</f>
        <v>0</v>
      </c>
    </row>
    <row r="273" customFormat="false" ht="15" hidden="false" customHeight="false" outlineLevel="0" collapsed="false">
      <c r="A273" s="6" t="str">
        <f aca="false">Sheet2_Cleaned_Data!A273</f>
        <v>STR-1068</v>
      </c>
      <c r="B273" s="6" t="str">
        <f aca="false">Sheet2_Cleaned_Data!B273</f>
        <v>2025-01-01</v>
      </c>
      <c r="C273" s="6" t="str">
        <f aca="false">Sheet2_Cleaned_Data!D273</f>
        <v>Mall</v>
      </c>
      <c r="D273" s="7" t="n">
        <f aca="false">IF($C273="Airport",1,0)</f>
        <v>0</v>
      </c>
      <c r="E273" s="7" t="n">
        <f aca="false">IF($C273="Mall",1,0)</f>
        <v>1</v>
      </c>
      <c r="F273" s="7" t="n">
        <f aca="false">IF($C273="Residential",1,0)</f>
        <v>0</v>
      </c>
    </row>
    <row r="274" customFormat="false" ht="15" hidden="false" customHeight="false" outlineLevel="0" collapsed="false">
      <c r="A274" s="6" t="str">
        <f aca="false">Sheet2_Cleaned_Data!A274</f>
        <v>STR-1068</v>
      </c>
      <c r="B274" s="6" t="str">
        <f aca="false">Sheet2_Cleaned_Data!B274</f>
        <v>2025-02-01</v>
      </c>
      <c r="C274" s="6" t="str">
        <f aca="false">Sheet2_Cleaned_Data!D274</f>
        <v>Mall</v>
      </c>
      <c r="D274" s="7" t="n">
        <f aca="false">IF($C274="Airport",1,0)</f>
        <v>0</v>
      </c>
      <c r="E274" s="7" t="n">
        <f aca="false">IF($C274="Mall",1,0)</f>
        <v>1</v>
      </c>
      <c r="F274" s="7" t="n">
        <f aca="false">IF($C274="Residential",1,0)</f>
        <v>0</v>
      </c>
    </row>
    <row r="275" customFormat="false" ht="15" hidden="false" customHeight="false" outlineLevel="0" collapsed="false">
      <c r="A275" s="6" t="str">
        <f aca="false">Sheet2_Cleaned_Data!A275</f>
        <v>STR-1068</v>
      </c>
      <c r="B275" s="6" t="str">
        <f aca="false">Sheet2_Cleaned_Data!B275</f>
        <v>2025-03-01</v>
      </c>
      <c r="C275" s="6" t="str">
        <f aca="false">Sheet2_Cleaned_Data!D275</f>
        <v>Mall</v>
      </c>
      <c r="D275" s="7" t="n">
        <f aca="false">IF($C275="Airport",1,0)</f>
        <v>0</v>
      </c>
      <c r="E275" s="7" t="n">
        <f aca="false">IF($C275="Mall",1,0)</f>
        <v>1</v>
      </c>
      <c r="F275" s="7" t="n">
        <f aca="false">IF($C275="Residential",1,0)</f>
        <v>0</v>
      </c>
    </row>
    <row r="276" customFormat="false" ht="15" hidden="false" customHeight="false" outlineLevel="0" collapsed="false">
      <c r="A276" s="6" t="str">
        <f aca="false">Sheet2_Cleaned_Data!A276</f>
        <v>STR-1068</v>
      </c>
      <c r="B276" s="6" t="str">
        <f aca="false">Sheet2_Cleaned_Data!B276</f>
        <v>2025-04-01</v>
      </c>
      <c r="C276" s="6" t="str">
        <f aca="false">Sheet2_Cleaned_Data!D276</f>
        <v>Mall</v>
      </c>
      <c r="D276" s="7" t="n">
        <f aca="false">IF($C276="Airport",1,0)</f>
        <v>0</v>
      </c>
      <c r="E276" s="7" t="n">
        <f aca="false">IF($C276="Mall",1,0)</f>
        <v>1</v>
      </c>
      <c r="F276" s="7" t="n">
        <f aca="false">IF($C276="Residential",1,0)</f>
        <v>0</v>
      </c>
    </row>
    <row r="277" customFormat="false" ht="15" hidden="false" customHeight="false" outlineLevel="0" collapsed="false">
      <c r="A277" s="6" t="str">
        <f aca="false">Sheet2_Cleaned_Data!A277</f>
        <v>STR-1069</v>
      </c>
      <c r="B277" s="6" t="str">
        <f aca="false">Sheet2_Cleaned_Data!B277</f>
        <v>2025-01-01</v>
      </c>
      <c r="C277" s="6" t="str">
        <f aca="false">Sheet2_Cleaned_Data!D277</f>
        <v>High Street</v>
      </c>
      <c r="D277" s="7" t="n">
        <f aca="false">IF($C277="Airport",1,0)</f>
        <v>0</v>
      </c>
      <c r="E277" s="7" t="n">
        <f aca="false">IF($C277="Mall",1,0)</f>
        <v>0</v>
      </c>
      <c r="F277" s="7" t="n">
        <f aca="false">IF($C277="Residential",1,0)</f>
        <v>0</v>
      </c>
    </row>
    <row r="278" customFormat="false" ht="15" hidden="false" customHeight="false" outlineLevel="0" collapsed="false">
      <c r="A278" s="6" t="str">
        <f aca="false">Sheet2_Cleaned_Data!A278</f>
        <v>STR-1069</v>
      </c>
      <c r="B278" s="6" t="str">
        <f aca="false">Sheet2_Cleaned_Data!B278</f>
        <v>2025-02-01</v>
      </c>
      <c r="C278" s="6" t="str">
        <f aca="false">Sheet2_Cleaned_Data!D278</f>
        <v>High Street</v>
      </c>
      <c r="D278" s="7" t="n">
        <f aca="false">IF($C278="Airport",1,0)</f>
        <v>0</v>
      </c>
      <c r="E278" s="7" t="n">
        <f aca="false">IF($C278="Mall",1,0)</f>
        <v>0</v>
      </c>
      <c r="F278" s="7" t="n">
        <f aca="false">IF($C278="Residential",1,0)</f>
        <v>0</v>
      </c>
    </row>
    <row r="279" customFormat="false" ht="15" hidden="false" customHeight="false" outlineLevel="0" collapsed="false">
      <c r="A279" s="6" t="str">
        <f aca="false">Sheet2_Cleaned_Data!A279</f>
        <v>STR-1069</v>
      </c>
      <c r="B279" s="6" t="str">
        <f aca="false">Sheet2_Cleaned_Data!B279</f>
        <v>2025-03-01</v>
      </c>
      <c r="C279" s="6" t="str">
        <f aca="false">Sheet2_Cleaned_Data!D279</f>
        <v>High Street</v>
      </c>
      <c r="D279" s="7" t="n">
        <f aca="false">IF($C279="Airport",1,0)</f>
        <v>0</v>
      </c>
      <c r="E279" s="7" t="n">
        <f aca="false">IF($C279="Mall",1,0)</f>
        <v>0</v>
      </c>
      <c r="F279" s="7" t="n">
        <f aca="false">IF($C279="Residential",1,0)</f>
        <v>0</v>
      </c>
    </row>
    <row r="280" customFormat="false" ht="15" hidden="false" customHeight="false" outlineLevel="0" collapsed="false">
      <c r="A280" s="6" t="str">
        <f aca="false">Sheet2_Cleaned_Data!A280</f>
        <v>STR-1069</v>
      </c>
      <c r="B280" s="6" t="str">
        <f aca="false">Sheet2_Cleaned_Data!B280</f>
        <v>2025-04-01</v>
      </c>
      <c r="C280" s="6" t="str">
        <f aca="false">Sheet2_Cleaned_Data!D280</f>
        <v>High Street</v>
      </c>
      <c r="D280" s="7" t="n">
        <f aca="false">IF($C280="Airport",1,0)</f>
        <v>0</v>
      </c>
      <c r="E280" s="7" t="n">
        <f aca="false">IF($C280="Mall",1,0)</f>
        <v>0</v>
      </c>
      <c r="F280" s="7" t="n">
        <f aca="false">IF($C280="Residential",1,0)</f>
        <v>0</v>
      </c>
    </row>
    <row r="281" customFormat="false" ht="15" hidden="false" customHeight="false" outlineLevel="0" collapsed="false">
      <c r="A281" s="6" t="str">
        <f aca="false">Sheet2_Cleaned_Data!A281</f>
        <v>STR-1070</v>
      </c>
      <c r="B281" s="6" t="str">
        <f aca="false">Sheet2_Cleaned_Data!B281</f>
        <v>2025-01-01</v>
      </c>
      <c r="C281" s="6" t="str">
        <f aca="false">Sheet2_Cleaned_Data!D281</f>
        <v>Residential</v>
      </c>
      <c r="D281" s="7" t="n">
        <f aca="false">IF($C281="Airport",1,0)</f>
        <v>0</v>
      </c>
      <c r="E281" s="7" t="n">
        <f aca="false">IF($C281="Mall",1,0)</f>
        <v>0</v>
      </c>
      <c r="F281" s="7" t="n">
        <f aca="false">IF($C281="Residential",1,0)</f>
        <v>1</v>
      </c>
    </row>
    <row r="282" customFormat="false" ht="15" hidden="false" customHeight="false" outlineLevel="0" collapsed="false">
      <c r="A282" s="6" t="str">
        <f aca="false">Sheet2_Cleaned_Data!A282</f>
        <v>STR-1070</v>
      </c>
      <c r="B282" s="6" t="str">
        <f aca="false">Sheet2_Cleaned_Data!B282</f>
        <v>2025-02-01</v>
      </c>
      <c r="C282" s="6" t="str">
        <f aca="false">Sheet2_Cleaned_Data!D282</f>
        <v>Residential</v>
      </c>
      <c r="D282" s="7" t="n">
        <f aca="false">IF($C282="Airport",1,0)</f>
        <v>0</v>
      </c>
      <c r="E282" s="7" t="n">
        <f aca="false">IF($C282="Mall",1,0)</f>
        <v>0</v>
      </c>
      <c r="F282" s="7" t="n">
        <f aca="false">IF($C282="Residential",1,0)</f>
        <v>1</v>
      </c>
    </row>
    <row r="283" customFormat="false" ht="15" hidden="false" customHeight="false" outlineLevel="0" collapsed="false">
      <c r="A283" s="6" t="str">
        <f aca="false">Sheet2_Cleaned_Data!A283</f>
        <v>STR-1070</v>
      </c>
      <c r="B283" s="6" t="str">
        <f aca="false">Sheet2_Cleaned_Data!B283</f>
        <v>2025-03-01</v>
      </c>
      <c r="C283" s="6" t="str">
        <f aca="false">Sheet2_Cleaned_Data!D283</f>
        <v>Residential</v>
      </c>
      <c r="D283" s="7" t="n">
        <f aca="false">IF($C283="Airport",1,0)</f>
        <v>0</v>
      </c>
      <c r="E283" s="7" t="n">
        <f aca="false">IF($C283="Mall",1,0)</f>
        <v>0</v>
      </c>
      <c r="F283" s="7" t="n">
        <f aca="false">IF($C283="Residential",1,0)</f>
        <v>1</v>
      </c>
    </row>
    <row r="284" customFormat="false" ht="15" hidden="false" customHeight="false" outlineLevel="0" collapsed="false">
      <c r="A284" s="6" t="str">
        <f aca="false">Sheet2_Cleaned_Data!A284</f>
        <v>STR-1070</v>
      </c>
      <c r="B284" s="6" t="str">
        <f aca="false">Sheet2_Cleaned_Data!B284</f>
        <v>2025-04-01</v>
      </c>
      <c r="C284" s="6" t="str">
        <f aca="false">Sheet2_Cleaned_Data!D284</f>
        <v>Residential</v>
      </c>
      <c r="D284" s="7" t="n">
        <f aca="false">IF($C284="Airport",1,0)</f>
        <v>0</v>
      </c>
      <c r="E284" s="7" t="n">
        <f aca="false">IF($C284="Mall",1,0)</f>
        <v>0</v>
      </c>
      <c r="F284" s="7" t="n">
        <f aca="false">IF($C284="Residential",1,0)</f>
        <v>1</v>
      </c>
    </row>
    <row r="285" customFormat="false" ht="15" hidden="false" customHeight="false" outlineLevel="0" collapsed="false">
      <c r="A285" s="6" t="str">
        <f aca="false">Sheet2_Cleaned_Data!A285</f>
        <v>STR-1071</v>
      </c>
      <c r="B285" s="6" t="str">
        <f aca="false">Sheet2_Cleaned_Data!B285</f>
        <v>2025-01-01</v>
      </c>
      <c r="C285" s="6" t="str">
        <f aca="false">Sheet2_Cleaned_Data!D285</f>
        <v>High Street</v>
      </c>
      <c r="D285" s="7" t="n">
        <f aca="false">IF($C285="Airport",1,0)</f>
        <v>0</v>
      </c>
      <c r="E285" s="7" t="n">
        <f aca="false">IF($C285="Mall",1,0)</f>
        <v>0</v>
      </c>
      <c r="F285" s="7" t="n">
        <f aca="false">IF($C285="Residential",1,0)</f>
        <v>0</v>
      </c>
    </row>
    <row r="286" customFormat="false" ht="15" hidden="false" customHeight="false" outlineLevel="0" collapsed="false">
      <c r="A286" s="6" t="str">
        <f aca="false">Sheet2_Cleaned_Data!A286</f>
        <v>STR-1071</v>
      </c>
      <c r="B286" s="6" t="str">
        <f aca="false">Sheet2_Cleaned_Data!B286</f>
        <v>2025-02-01</v>
      </c>
      <c r="C286" s="6" t="str">
        <f aca="false">Sheet2_Cleaned_Data!D286</f>
        <v>High Street</v>
      </c>
      <c r="D286" s="7" t="n">
        <f aca="false">IF($C286="Airport",1,0)</f>
        <v>0</v>
      </c>
      <c r="E286" s="7" t="n">
        <f aca="false">IF($C286="Mall",1,0)</f>
        <v>0</v>
      </c>
      <c r="F286" s="7" t="n">
        <f aca="false">IF($C286="Residential",1,0)</f>
        <v>0</v>
      </c>
    </row>
    <row r="287" customFormat="false" ht="15" hidden="false" customHeight="false" outlineLevel="0" collapsed="false">
      <c r="A287" s="6" t="str">
        <f aca="false">Sheet2_Cleaned_Data!A287</f>
        <v>STR-1071</v>
      </c>
      <c r="B287" s="6" t="str">
        <f aca="false">Sheet2_Cleaned_Data!B287</f>
        <v>2025-03-01</v>
      </c>
      <c r="C287" s="6" t="str">
        <f aca="false">Sheet2_Cleaned_Data!D287</f>
        <v>High Street</v>
      </c>
      <c r="D287" s="7" t="n">
        <f aca="false">IF($C287="Airport",1,0)</f>
        <v>0</v>
      </c>
      <c r="E287" s="7" t="n">
        <f aca="false">IF($C287="Mall",1,0)</f>
        <v>0</v>
      </c>
      <c r="F287" s="7" t="n">
        <f aca="false">IF($C287="Residential",1,0)</f>
        <v>0</v>
      </c>
    </row>
    <row r="288" customFormat="false" ht="15" hidden="false" customHeight="false" outlineLevel="0" collapsed="false">
      <c r="A288" s="6" t="str">
        <f aca="false">Sheet2_Cleaned_Data!A288</f>
        <v>STR-1071</v>
      </c>
      <c r="B288" s="6" t="str">
        <f aca="false">Sheet2_Cleaned_Data!B288</f>
        <v>2025-04-01</v>
      </c>
      <c r="C288" s="6" t="str">
        <f aca="false">Sheet2_Cleaned_Data!D288</f>
        <v>High Street</v>
      </c>
      <c r="D288" s="7" t="n">
        <f aca="false">IF($C288="Airport",1,0)</f>
        <v>0</v>
      </c>
      <c r="E288" s="7" t="n">
        <f aca="false">IF($C288="Mall",1,0)</f>
        <v>0</v>
      </c>
      <c r="F288" s="7" t="n">
        <f aca="false">IF($C288="Residential",1,0)</f>
        <v>0</v>
      </c>
    </row>
    <row r="289" customFormat="false" ht="15" hidden="false" customHeight="false" outlineLevel="0" collapsed="false">
      <c r="A289" s="6" t="str">
        <f aca="false">Sheet2_Cleaned_Data!A289</f>
        <v>STR-1072</v>
      </c>
      <c r="B289" s="6" t="str">
        <f aca="false">Sheet2_Cleaned_Data!B289</f>
        <v>2025-01-01</v>
      </c>
      <c r="C289" s="6" t="str">
        <f aca="false">Sheet2_Cleaned_Data!D289</f>
        <v>Residential</v>
      </c>
      <c r="D289" s="7" t="n">
        <f aca="false">IF($C289="Airport",1,0)</f>
        <v>0</v>
      </c>
      <c r="E289" s="7" t="n">
        <f aca="false">IF($C289="Mall",1,0)</f>
        <v>0</v>
      </c>
      <c r="F289" s="7" t="n">
        <f aca="false">IF($C289="Residential",1,0)</f>
        <v>1</v>
      </c>
    </row>
    <row r="290" customFormat="false" ht="15" hidden="false" customHeight="false" outlineLevel="0" collapsed="false">
      <c r="A290" s="6" t="str">
        <f aca="false">Sheet2_Cleaned_Data!A290</f>
        <v>STR-1072</v>
      </c>
      <c r="B290" s="6" t="str">
        <f aca="false">Sheet2_Cleaned_Data!B290</f>
        <v>2025-02-01</v>
      </c>
      <c r="C290" s="6" t="str">
        <f aca="false">Sheet2_Cleaned_Data!D290</f>
        <v>Residential</v>
      </c>
      <c r="D290" s="7" t="n">
        <f aca="false">IF($C290="Airport",1,0)</f>
        <v>0</v>
      </c>
      <c r="E290" s="7" t="n">
        <f aca="false">IF($C290="Mall",1,0)</f>
        <v>0</v>
      </c>
      <c r="F290" s="7" t="n">
        <f aca="false">IF($C290="Residential",1,0)</f>
        <v>1</v>
      </c>
    </row>
    <row r="291" customFormat="false" ht="15" hidden="false" customHeight="false" outlineLevel="0" collapsed="false">
      <c r="A291" s="6" t="str">
        <f aca="false">Sheet2_Cleaned_Data!A291</f>
        <v>STR-1072</v>
      </c>
      <c r="B291" s="6" t="str">
        <f aca="false">Sheet2_Cleaned_Data!B291</f>
        <v>2025-03-01</v>
      </c>
      <c r="C291" s="6" t="str">
        <f aca="false">Sheet2_Cleaned_Data!D291</f>
        <v>Residential</v>
      </c>
      <c r="D291" s="7" t="n">
        <f aca="false">IF($C291="Airport",1,0)</f>
        <v>0</v>
      </c>
      <c r="E291" s="7" t="n">
        <f aca="false">IF($C291="Mall",1,0)</f>
        <v>0</v>
      </c>
      <c r="F291" s="7" t="n">
        <f aca="false">IF($C291="Residential",1,0)</f>
        <v>1</v>
      </c>
    </row>
    <row r="292" customFormat="false" ht="15" hidden="false" customHeight="false" outlineLevel="0" collapsed="false">
      <c r="A292" s="6" t="str">
        <f aca="false">Sheet2_Cleaned_Data!A292</f>
        <v>STR-1072</v>
      </c>
      <c r="B292" s="6" t="str">
        <f aca="false">Sheet2_Cleaned_Data!B292</f>
        <v>2025-04-01</v>
      </c>
      <c r="C292" s="6" t="str">
        <f aca="false">Sheet2_Cleaned_Data!D292</f>
        <v>Residential</v>
      </c>
      <c r="D292" s="7" t="n">
        <f aca="false">IF($C292="Airport",1,0)</f>
        <v>0</v>
      </c>
      <c r="E292" s="7" t="n">
        <f aca="false">IF($C292="Mall",1,0)</f>
        <v>0</v>
      </c>
      <c r="F292" s="7" t="n">
        <f aca="false">IF($C292="Residential",1,0)</f>
        <v>1</v>
      </c>
    </row>
    <row r="293" customFormat="false" ht="15" hidden="false" customHeight="false" outlineLevel="0" collapsed="false">
      <c r="A293" s="6" t="str">
        <f aca="false">Sheet2_Cleaned_Data!A293</f>
        <v>STR-1073</v>
      </c>
      <c r="B293" s="6" t="str">
        <f aca="false">Sheet2_Cleaned_Data!B293</f>
        <v>2025-01-01</v>
      </c>
      <c r="C293" s="6" t="str">
        <f aca="false">Sheet2_Cleaned_Data!D293</f>
        <v>Residential</v>
      </c>
      <c r="D293" s="7" t="n">
        <f aca="false">IF($C293="Airport",1,0)</f>
        <v>0</v>
      </c>
      <c r="E293" s="7" t="n">
        <f aca="false">IF($C293="Mall",1,0)</f>
        <v>0</v>
      </c>
      <c r="F293" s="7" t="n">
        <f aca="false">IF($C293="Residential",1,0)</f>
        <v>1</v>
      </c>
    </row>
    <row r="294" customFormat="false" ht="15" hidden="false" customHeight="false" outlineLevel="0" collapsed="false">
      <c r="A294" s="6" t="str">
        <f aca="false">Sheet2_Cleaned_Data!A294</f>
        <v>STR-1073</v>
      </c>
      <c r="B294" s="6" t="str">
        <f aca="false">Sheet2_Cleaned_Data!B294</f>
        <v>2025-02-01</v>
      </c>
      <c r="C294" s="6" t="str">
        <f aca="false">Sheet2_Cleaned_Data!D294</f>
        <v>Residential</v>
      </c>
      <c r="D294" s="7" t="n">
        <f aca="false">IF($C294="Airport",1,0)</f>
        <v>0</v>
      </c>
      <c r="E294" s="7" t="n">
        <f aca="false">IF($C294="Mall",1,0)</f>
        <v>0</v>
      </c>
      <c r="F294" s="7" t="n">
        <f aca="false">IF($C294="Residential",1,0)</f>
        <v>1</v>
      </c>
    </row>
    <row r="295" customFormat="false" ht="15" hidden="false" customHeight="false" outlineLevel="0" collapsed="false">
      <c r="A295" s="6" t="str">
        <f aca="false">Sheet2_Cleaned_Data!A295</f>
        <v>STR-1073</v>
      </c>
      <c r="B295" s="6" t="str">
        <f aca="false">Sheet2_Cleaned_Data!B295</f>
        <v>2025-03-01</v>
      </c>
      <c r="C295" s="6" t="str">
        <f aca="false">Sheet2_Cleaned_Data!D295</f>
        <v>Residential</v>
      </c>
      <c r="D295" s="7" t="n">
        <f aca="false">IF($C295="Airport",1,0)</f>
        <v>0</v>
      </c>
      <c r="E295" s="7" t="n">
        <f aca="false">IF($C295="Mall",1,0)</f>
        <v>0</v>
      </c>
      <c r="F295" s="7" t="n">
        <f aca="false">IF($C295="Residential",1,0)</f>
        <v>1</v>
      </c>
    </row>
    <row r="296" customFormat="false" ht="15" hidden="false" customHeight="false" outlineLevel="0" collapsed="false">
      <c r="A296" s="6" t="str">
        <f aca="false">Sheet2_Cleaned_Data!A296</f>
        <v>STR-1073</v>
      </c>
      <c r="B296" s="6" t="str">
        <f aca="false">Sheet2_Cleaned_Data!B296</f>
        <v>2025-04-01</v>
      </c>
      <c r="C296" s="6" t="str">
        <f aca="false">Sheet2_Cleaned_Data!D296</f>
        <v>Residential</v>
      </c>
      <c r="D296" s="7" t="n">
        <f aca="false">IF($C296="Airport",1,0)</f>
        <v>0</v>
      </c>
      <c r="E296" s="7" t="n">
        <f aca="false">IF($C296="Mall",1,0)</f>
        <v>0</v>
      </c>
      <c r="F296" s="7" t="n">
        <f aca="false">IF($C296="Residential",1,0)</f>
        <v>1</v>
      </c>
    </row>
    <row r="297" customFormat="false" ht="15" hidden="false" customHeight="false" outlineLevel="0" collapsed="false">
      <c r="A297" s="6" t="str">
        <f aca="false">Sheet2_Cleaned_Data!A297</f>
        <v>STR-1074</v>
      </c>
      <c r="B297" s="6" t="str">
        <f aca="false">Sheet2_Cleaned_Data!B297</f>
        <v>2025-01-01</v>
      </c>
      <c r="C297" s="6" t="str">
        <f aca="false">Sheet2_Cleaned_Data!D297</f>
        <v>High Street</v>
      </c>
      <c r="D297" s="7" t="n">
        <f aca="false">IF($C297="Airport",1,0)</f>
        <v>0</v>
      </c>
      <c r="E297" s="7" t="n">
        <f aca="false">IF($C297="Mall",1,0)</f>
        <v>0</v>
      </c>
      <c r="F297" s="7" t="n">
        <f aca="false">IF($C297="Residential",1,0)</f>
        <v>0</v>
      </c>
    </row>
    <row r="298" customFormat="false" ht="15" hidden="false" customHeight="false" outlineLevel="0" collapsed="false">
      <c r="A298" s="6" t="str">
        <f aca="false">Sheet2_Cleaned_Data!A298</f>
        <v>STR-1074</v>
      </c>
      <c r="B298" s="6" t="str">
        <f aca="false">Sheet2_Cleaned_Data!B298</f>
        <v>2025-02-01</v>
      </c>
      <c r="C298" s="6" t="str">
        <f aca="false">Sheet2_Cleaned_Data!D298</f>
        <v>High Street</v>
      </c>
      <c r="D298" s="7" t="n">
        <f aca="false">IF($C298="Airport",1,0)</f>
        <v>0</v>
      </c>
      <c r="E298" s="7" t="n">
        <f aca="false">IF($C298="Mall",1,0)</f>
        <v>0</v>
      </c>
      <c r="F298" s="7" t="n">
        <f aca="false">IF($C298="Residential",1,0)</f>
        <v>0</v>
      </c>
    </row>
    <row r="299" customFormat="false" ht="15" hidden="false" customHeight="false" outlineLevel="0" collapsed="false">
      <c r="A299" s="6" t="str">
        <f aca="false">Sheet2_Cleaned_Data!A299</f>
        <v>STR-1074</v>
      </c>
      <c r="B299" s="6" t="str">
        <f aca="false">Sheet2_Cleaned_Data!B299</f>
        <v>2025-03-01</v>
      </c>
      <c r="C299" s="6" t="str">
        <f aca="false">Sheet2_Cleaned_Data!D299</f>
        <v>High Street</v>
      </c>
      <c r="D299" s="7" t="n">
        <f aca="false">IF($C299="Airport",1,0)</f>
        <v>0</v>
      </c>
      <c r="E299" s="7" t="n">
        <f aca="false">IF($C299="Mall",1,0)</f>
        <v>0</v>
      </c>
      <c r="F299" s="7" t="n">
        <f aca="false">IF($C299="Residential",1,0)</f>
        <v>0</v>
      </c>
    </row>
    <row r="300" customFormat="false" ht="15" hidden="false" customHeight="false" outlineLevel="0" collapsed="false">
      <c r="A300" s="6" t="str">
        <f aca="false">Sheet2_Cleaned_Data!A300</f>
        <v>STR-1074</v>
      </c>
      <c r="B300" s="6" t="str">
        <f aca="false">Sheet2_Cleaned_Data!B300</f>
        <v>2025-04-01</v>
      </c>
      <c r="C300" s="6" t="str">
        <f aca="false">Sheet2_Cleaned_Data!D300</f>
        <v>High Street</v>
      </c>
      <c r="D300" s="7" t="n">
        <f aca="false">IF($C300="Airport",1,0)</f>
        <v>0</v>
      </c>
      <c r="E300" s="7" t="n">
        <f aca="false">IF($C300="Mall",1,0)</f>
        <v>0</v>
      </c>
      <c r="F300" s="7" t="n">
        <f aca="false">IF($C300="Residential",1,0)</f>
        <v>0</v>
      </c>
    </row>
    <row r="301" customFormat="false" ht="15" hidden="false" customHeight="false" outlineLevel="0" collapsed="false">
      <c r="A301" s="6" t="str">
        <f aca="false">Sheet2_Cleaned_Data!A301</f>
        <v>STR-1075</v>
      </c>
      <c r="B301" s="6" t="str">
        <f aca="false">Sheet2_Cleaned_Data!B301</f>
        <v>2025-01-01</v>
      </c>
      <c r="C301" s="6" t="str">
        <f aca="false">Sheet2_Cleaned_Data!D301</f>
        <v>High Street</v>
      </c>
      <c r="D301" s="7" t="n">
        <f aca="false">IF($C301="Airport",1,0)</f>
        <v>0</v>
      </c>
      <c r="E301" s="7" t="n">
        <f aca="false">IF($C301="Mall",1,0)</f>
        <v>0</v>
      </c>
      <c r="F301" s="7" t="n">
        <f aca="false">IF($C301="Residential",1,0)</f>
        <v>0</v>
      </c>
    </row>
    <row r="302" customFormat="false" ht="15" hidden="false" customHeight="false" outlineLevel="0" collapsed="false">
      <c r="A302" s="6" t="str">
        <f aca="false">Sheet2_Cleaned_Data!A302</f>
        <v>STR-1075</v>
      </c>
      <c r="B302" s="6" t="str">
        <f aca="false">Sheet2_Cleaned_Data!B302</f>
        <v>2025-02-01</v>
      </c>
      <c r="C302" s="6" t="str">
        <f aca="false">Sheet2_Cleaned_Data!D302</f>
        <v>High Street</v>
      </c>
      <c r="D302" s="7" t="n">
        <f aca="false">IF($C302="Airport",1,0)</f>
        <v>0</v>
      </c>
      <c r="E302" s="7" t="n">
        <f aca="false">IF($C302="Mall",1,0)</f>
        <v>0</v>
      </c>
      <c r="F302" s="7" t="n">
        <f aca="false">IF($C302="Residential",1,0)</f>
        <v>0</v>
      </c>
    </row>
    <row r="303" customFormat="false" ht="15" hidden="false" customHeight="false" outlineLevel="0" collapsed="false">
      <c r="A303" s="6" t="str">
        <f aca="false">Sheet2_Cleaned_Data!A303</f>
        <v>STR-1075</v>
      </c>
      <c r="B303" s="6" t="str">
        <f aca="false">Sheet2_Cleaned_Data!B303</f>
        <v>2025-03-01</v>
      </c>
      <c r="C303" s="6" t="str">
        <f aca="false">Sheet2_Cleaned_Data!D303</f>
        <v>High Street</v>
      </c>
      <c r="D303" s="7" t="n">
        <f aca="false">IF($C303="Airport",1,0)</f>
        <v>0</v>
      </c>
      <c r="E303" s="7" t="n">
        <f aca="false">IF($C303="Mall",1,0)</f>
        <v>0</v>
      </c>
      <c r="F303" s="7" t="n">
        <f aca="false">IF($C303="Residential",1,0)</f>
        <v>0</v>
      </c>
    </row>
    <row r="304" customFormat="false" ht="15" hidden="false" customHeight="false" outlineLevel="0" collapsed="false">
      <c r="A304" s="6" t="str">
        <f aca="false">Sheet2_Cleaned_Data!A304</f>
        <v>STR-1075</v>
      </c>
      <c r="B304" s="6" t="str">
        <f aca="false">Sheet2_Cleaned_Data!B304</f>
        <v>2025-04-01</v>
      </c>
      <c r="C304" s="6" t="str">
        <f aca="false">Sheet2_Cleaned_Data!D304</f>
        <v>High Street</v>
      </c>
      <c r="D304" s="7" t="n">
        <f aca="false">IF($C304="Airport",1,0)</f>
        <v>0</v>
      </c>
      <c r="E304" s="7" t="n">
        <f aca="false">IF($C304="Mall",1,0)</f>
        <v>0</v>
      </c>
      <c r="F304" s="7" t="n">
        <f aca="false">IF($C304="Residential",1,0)</f>
        <v>0</v>
      </c>
    </row>
    <row r="305" customFormat="false" ht="15" hidden="false" customHeight="false" outlineLevel="0" collapsed="false">
      <c r="A305" s="6" t="str">
        <f aca="false">Sheet2_Cleaned_Data!A305</f>
        <v>STR-1076</v>
      </c>
      <c r="B305" s="6" t="str">
        <f aca="false">Sheet2_Cleaned_Data!B305</f>
        <v>2025-01-01</v>
      </c>
      <c r="C305" s="6" t="str">
        <f aca="false">Sheet2_Cleaned_Data!D305</f>
        <v>Mall</v>
      </c>
      <c r="D305" s="7" t="n">
        <f aca="false">IF($C305="Airport",1,0)</f>
        <v>0</v>
      </c>
      <c r="E305" s="7" t="n">
        <f aca="false">IF($C305="Mall",1,0)</f>
        <v>1</v>
      </c>
      <c r="F305" s="7" t="n">
        <f aca="false">IF($C305="Residential",1,0)</f>
        <v>0</v>
      </c>
    </row>
    <row r="306" customFormat="false" ht="15" hidden="false" customHeight="false" outlineLevel="0" collapsed="false">
      <c r="A306" s="6" t="str">
        <f aca="false">Sheet2_Cleaned_Data!A306</f>
        <v>STR-1076</v>
      </c>
      <c r="B306" s="6" t="str">
        <f aca="false">Sheet2_Cleaned_Data!B306</f>
        <v>2025-02-01</v>
      </c>
      <c r="C306" s="6" t="str">
        <f aca="false">Sheet2_Cleaned_Data!D306</f>
        <v>Mall</v>
      </c>
      <c r="D306" s="7" t="n">
        <f aca="false">IF($C306="Airport",1,0)</f>
        <v>0</v>
      </c>
      <c r="E306" s="7" t="n">
        <f aca="false">IF($C306="Mall",1,0)</f>
        <v>1</v>
      </c>
      <c r="F306" s="7" t="n">
        <f aca="false">IF($C306="Residential",1,0)</f>
        <v>0</v>
      </c>
    </row>
    <row r="307" customFormat="false" ht="15" hidden="false" customHeight="false" outlineLevel="0" collapsed="false">
      <c r="A307" s="6" t="str">
        <f aca="false">Sheet2_Cleaned_Data!A307</f>
        <v>STR-1076</v>
      </c>
      <c r="B307" s="6" t="str">
        <f aca="false">Sheet2_Cleaned_Data!B307</f>
        <v>2025-03-01</v>
      </c>
      <c r="C307" s="6" t="str">
        <f aca="false">Sheet2_Cleaned_Data!D307</f>
        <v>Mall</v>
      </c>
      <c r="D307" s="7" t="n">
        <f aca="false">IF($C307="Airport",1,0)</f>
        <v>0</v>
      </c>
      <c r="E307" s="7" t="n">
        <f aca="false">IF($C307="Mall",1,0)</f>
        <v>1</v>
      </c>
      <c r="F307" s="7" t="n">
        <f aca="false">IF($C307="Residential",1,0)</f>
        <v>0</v>
      </c>
    </row>
    <row r="308" customFormat="false" ht="15" hidden="false" customHeight="false" outlineLevel="0" collapsed="false">
      <c r="A308" s="6" t="str">
        <f aca="false">Sheet2_Cleaned_Data!A308</f>
        <v>STR-1076</v>
      </c>
      <c r="B308" s="6" t="str">
        <f aca="false">Sheet2_Cleaned_Data!B308</f>
        <v>2025-04-01</v>
      </c>
      <c r="C308" s="6" t="str">
        <f aca="false">Sheet2_Cleaned_Data!D308</f>
        <v>Mall</v>
      </c>
      <c r="D308" s="7" t="n">
        <f aca="false">IF($C308="Airport",1,0)</f>
        <v>0</v>
      </c>
      <c r="E308" s="7" t="n">
        <f aca="false">IF($C308="Mall",1,0)</f>
        <v>1</v>
      </c>
      <c r="F308" s="7" t="n">
        <f aca="false">IF($C308="Residential",1,0)</f>
        <v>0</v>
      </c>
    </row>
    <row r="309" customFormat="false" ht="15" hidden="false" customHeight="false" outlineLevel="0" collapsed="false">
      <c r="A309" s="6" t="str">
        <f aca="false">Sheet2_Cleaned_Data!A309</f>
        <v>STR-1077</v>
      </c>
      <c r="B309" s="6" t="str">
        <f aca="false">Sheet2_Cleaned_Data!B309</f>
        <v>2025-01-01</v>
      </c>
      <c r="C309" s="6" t="str">
        <f aca="false">Sheet2_Cleaned_Data!D309</f>
        <v>Residential</v>
      </c>
      <c r="D309" s="7" t="n">
        <f aca="false">IF($C309="Airport",1,0)</f>
        <v>0</v>
      </c>
      <c r="E309" s="7" t="n">
        <f aca="false">IF($C309="Mall",1,0)</f>
        <v>0</v>
      </c>
      <c r="F309" s="7" t="n">
        <f aca="false">IF($C309="Residential",1,0)</f>
        <v>1</v>
      </c>
    </row>
    <row r="310" customFormat="false" ht="15" hidden="false" customHeight="false" outlineLevel="0" collapsed="false">
      <c r="A310" s="6" t="str">
        <f aca="false">Sheet2_Cleaned_Data!A310</f>
        <v>STR-1077</v>
      </c>
      <c r="B310" s="6" t="str">
        <f aca="false">Sheet2_Cleaned_Data!B310</f>
        <v>2025-02-01</v>
      </c>
      <c r="C310" s="6" t="str">
        <f aca="false">Sheet2_Cleaned_Data!D310</f>
        <v>Residential</v>
      </c>
      <c r="D310" s="7" t="n">
        <f aca="false">IF($C310="Airport",1,0)</f>
        <v>0</v>
      </c>
      <c r="E310" s="7" t="n">
        <f aca="false">IF($C310="Mall",1,0)</f>
        <v>0</v>
      </c>
      <c r="F310" s="7" t="n">
        <f aca="false">IF($C310="Residential",1,0)</f>
        <v>1</v>
      </c>
    </row>
    <row r="311" customFormat="false" ht="15" hidden="false" customHeight="false" outlineLevel="0" collapsed="false">
      <c r="A311" s="6" t="str">
        <f aca="false">Sheet2_Cleaned_Data!A311</f>
        <v>STR-1077</v>
      </c>
      <c r="B311" s="6" t="str">
        <f aca="false">Sheet2_Cleaned_Data!B311</f>
        <v>2025-03-01</v>
      </c>
      <c r="C311" s="6" t="str">
        <f aca="false">Sheet2_Cleaned_Data!D311</f>
        <v>Residential</v>
      </c>
      <c r="D311" s="7" t="n">
        <f aca="false">IF($C311="Airport",1,0)</f>
        <v>0</v>
      </c>
      <c r="E311" s="7" t="n">
        <f aca="false">IF($C311="Mall",1,0)</f>
        <v>0</v>
      </c>
      <c r="F311" s="7" t="n">
        <f aca="false">IF($C311="Residential",1,0)</f>
        <v>1</v>
      </c>
    </row>
    <row r="312" customFormat="false" ht="15" hidden="false" customHeight="false" outlineLevel="0" collapsed="false">
      <c r="A312" s="6" t="str">
        <f aca="false">Sheet2_Cleaned_Data!A312</f>
        <v>STR-1077</v>
      </c>
      <c r="B312" s="6" t="str">
        <f aca="false">Sheet2_Cleaned_Data!B312</f>
        <v>2025-04-01</v>
      </c>
      <c r="C312" s="6" t="str">
        <f aca="false">Sheet2_Cleaned_Data!D312</f>
        <v>Residential</v>
      </c>
      <c r="D312" s="7" t="n">
        <f aca="false">IF($C312="Airport",1,0)</f>
        <v>0</v>
      </c>
      <c r="E312" s="7" t="n">
        <f aca="false">IF($C312="Mall",1,0)</f>
        <v>0</v>
      </c>
      <c r="F312" s="7" t="n">
        <f aca="false">IF($C312="Residential",1,0)</f>
        <v>1</v>
      </c>
    </row>
    <row r="313" customFormat="false" ht="15" hidden="false" customHeight="false" outlineLevel="0" collapsed="false">
      <c r="A313" s="6" t="str">
        <f aca="false">Sheet2_Cleaned_Data!A313</f>
        <v>STR-1078</v>
      </c>
      <c r="B313" s="6" t="str">
        <f aca="false">Sheet2_Cleaned_Data!B313</f>
        <v>2025-01-01</v>
      </c>
      <c r="C313" s="6" t="str">
        <f aca="false">Sheet2_Cleaned_Data!D313</f>
        <v>High Street</v>
      </c>
      <c r="D313" s="7" t="n">
        <f aca="false">IF($C313="Airport",1,0)</f>
        <v>0</v>
      </c>
      <c r="E313" s="7" t="n">
        <f aca="false">IF($C313="Mall",1,0)</f>
        <v>0</v>
      </c>
      <c r="F313" s="7" t="n">
        <f aca="false">IF($C313="Residential",1,0)</f>
        <v>0</v>
      </c>
    </row>
    <row r="314" customFormat="false" ht="15" hidden="false" customHeight="false" outlineLevel="0" collapsed="false">
      <c r="A314" s="6" t="str">
        <f aca="false">Sheet2_Cleaned_Data!A314</f>
        <v>STR-1078</v>
      </c>
      <c r="B314" s="6" t="str">
        <f aca="false">Sheet2_Cleaned_Data!B314</f>
        <v>2025-02-01</v>
      </c>
      <c r="C314" s="6" t="str">
        <f aca="false">Sheet2_Cleaned_Data!D314</f>
        <v>High Street</v>
      </c>
      <c r="D314" s="7" t="n">
        <f aca="false">IF($C314="Airport",1,0)</f>
        <v>0</v>
      </c>
      <c r="E314" s="7" t="n">
        <f aca="false">IF($C314="Mall",1,0)</f>
        <v>0</v>
      </c>
      <c r="F314" s="7" t="n">
        <f aca="false">IF($C314="Residential",1,0)</f>
        <v>0</v>
      </c>
    </row>
    <row r="315" customFormat="false" ht="15" hidden="false" customHeight="false" outlineLevel="0" collapsed="false">
      <c r="A315" s="6" t="str">
        <f aca="false">Sheet2_Cleaned_Data!A315</f>
        <v>STR-1078</v>
      </c>
      <c r="B315" s="6" t="str">
        <f aca="false">Sheet2_Cleaned_Data!B315</f>
        <v>2025-03-01</v>
      </c>
      <c r="C315" s="6" t="str">
        <f aca="false">Sheet2_Cleaned_Data!D315</f>
        <v>High Street</v>
      </c>
      <c r="D315" s="7" t="n">
        <f aca="false">IF($C315="Airport",1,0)</f>
        <v>0</v>
      </c>
      <c r="E315" s="7" t="n">
        <f aca="false">IF($C315="Mall",1,0)</f>
        <v>0</v>
      </c>
      <c r="F315" s="7" t="n">
        <f aca="false">IF($C315="Residential",1,0)</f>
        <v>0</v>
      </c>
    </row>
    <row r="316" customFormat="false" ht="15" hidden="false" customHeight="false" outlineLevel="0" collapsed="false">
      <c r="A316" s="6" t="str">
        <f aca="false">Sheet2_Cleaned_Data!A316</f>
        <v>STR-1078</v>
      </c>
      <c r="B316" s="6" t="str">
        <f aca="false">Sheet2_Cleaned_Data!B316</f>
        <v>2025-04-01</v>
      </c>
      <c r="C316" s="6" t="str">
        <f aca="false">Sheet2_Cleaned_Data!D316</f>
        <v>High Street</v>
      </c>
      <c r="D316" s="7" t="n">
        <f aca="false">IF($C316="Airport",1,0)</f>
        <v>0</v>
      </c>
      <c r="E316" s="7" t="n">
        <f aca="false">IF($C316="Mall",1,0)</f>
        <v>0</v>
      </c>
      <c r="F316" s="7" t="n">
        <f aca="false">IF($C316="Residential",1,0)</f>
        <v>0</v>
      </c>
    </row>
    <row r="317" customFormat="false" ht="15" hidden="false" customHeight="false" outlineLevel="0" collapsed="false">
      <c r="A317" s="6" t="str">
        <f aca="false">Sheet2_Cleaned_Data!A317</f>
        <v>STR-1079</v>
      </c>
      <c r="B317" s="6" t="str">
        <f aca="false">Sheet2_Cleaned_Data!B317</f>
        <v>2025-01-01</v>
      </c>
      <c r="C317" s="6" t="str">
        <f aca="false">Sheet2_Cleaned_Data!D317</f>
        <v>Residential</v>
      </c>
      <c r="D317" s="7" t="n">
        <f aca="false">IF($C317="Airport",1,0)</f>
        <v>0</v>
      </c>
      <c r="E317" s="7" t="n">
        <f aca="false">IF($C317="Mall",1,0)</f>
        <v>0</v>
      </c>
      <c r="F317" s="7" t="n">
        <f aca="false">IF($C317="Residential",1,0)</f>
        <v>1</v>
      </c>
    </row>
    <row r="318" customFormat="false" ht="15" hidden="false" customHeight="false" outlineLevel="0" collapsed="false">
      <c r="A318" s="6" t="str">
        <f aca="false">Sheet2_Cleaned_Data!A318</f>
        <v>STR-1079</v>
      </c>
      <c r="B318" s="6" t="str">
        <f aca="false">Sheet2_Cleaned_Data!B318</f>
        <v>2025-02-01</v>
      </c>
      <c r="C318" s="6" t="str">
        <f aca="false">Sheet2_Cleaned_Data!D318</f>
        <v>Residential</v>
      </c>
      <c r="D318" s="7" t="n">
        <f aca="false">IF($C318="Airport",1,0)</f>
        <v>0</v>
      </c>
      <c r="E318" s="7" t="n">
        <f aca="false">IF($C318="Mall",1,0)</f>
        <v>0</v>
      </c>
      <c r="F318" s="7" t="n">
        <f aca="false">IF($C318="Residential",1,0)</f>
        <v>1</v>
      </c>
    </row>
    <row r="319" customFormat="false" ht="15" hidden="false" customHeight="false" outlineLevel="0" collapsed="false">
      <c r="A319" s="6" t="str">
        <f aca="false">Sheet2_Cleaned_Data!A319</f>
        <v>STR-1079</v>
      </c>
      <c r="B319" s="6" t="str">
        <f aca="false">Sheet2_Cleaned_Data!B319</f>
        <v>2025-03-01</v>
      </c>
      <c r="C319" s="6" t="str">
        <f aca="false">Sheet2_Cleaned_Data!D319</f>
        <v>Residential</v>
      </c>
      <c r="D319" s="7" t="n">
        <f aca="false">IF($C319="Airport",1,0)</f>
        <v>0</v>
      </c>
      <c r="E319" s="7" t="n">
        <f aca="false">IF($C319="Mall",1,0)</f>
        <v>0</v>
      </c>
      <c r="F319" s="7" t="n">
        <f aca="false">IF($C319="Residential",1,0)</f>
        <v>1</v>
      </c>
    </row>
    <row r="320" customFormat="false" ht="15" hidden="false" customHeight="false" outlineLevel="0" collapsed="false">
      <c r="A320" s="6" t="str">
        <f aca="false">Sheet2_Cleaned_Data!A320</f>
        <v>STR-1079</v>
      </c>
      <c r="B320" s="6" t="str">
        <f aca="false">Sheet2_Cleaned_Data!B320</f>
        <v>2025-04-01</v>
      </c>
      <c r="C320" s="6" t="str">
        <f aca="false">Sheet2_Cleaned_Data!D320</f>
        <v>Residential</v>
      </c>
      <c r="D320" s="7" t="n">
        <f aca="false">IF($C320="Airport",1,0)</f>
        <v>0</v>
      </c>
      <c r="E320" s="7" t="n">
        <f aca="false">IF($C320="Mall",1,0)</f>
        <v>0</v>
      </c>
      <c r="F320" s="7" t="n">
        <f aca="false">IF($C320="Residential",1,0)</f>
        <v>1</v>
      </c>
    </row>
    <row r="321" customFormat="false" ht="15" hidden="false" customHeight="false" outlineLevel="0" collapsed="false">
      <c r="A321" s="6" t="str">
        <f aca="false">Sheet2_Cleaned_Data!A321</f>
        <v>STR-1080</v>
      </c>
      <c r="B321" s="6" t="str">
        <f aca="false">Sheet2_Cleaned_Data!B321</f>
        <v>2025-01-01</v>
      </c>
      <c r="C321" s="6" t="str">
        <f aca="false">Sheet2_Cleaned_Data!D321</f>
        <v>Residential</v>
      </c>
      <c r="D321" s="7" t="n">
        <f aca="false">IF($C321="Airport",1,0)</f>
        <v>0</v>
      </c>
      <c r="E321" s="7" t="n">
        <f aca="false">IF($C321="Mall",1,0)</f>
        <v>0</v>
      </c>
      <c r="F321" s="7" t="n">
        <f aca="false">IF($C321="Residential",1,0)</f>
        <v>1</v>
      </c>
    </row>
    <row r="322" customFormat="false" ht="15" hidden="false" customHeight="false" outlineLevel="0" collapsed="false">
      <c r="A322" s="6" t="str">
        <f aca="false">Sheet2_Cleaned_Data!A322</f>
        <v>STR-1080</v>
      </c>
      <c r="B322" s="6" t="str">
        <f aca="false">Sheet2_Cleaned_Data!B322</f>
        <v>2025-02-01</v>
      </c>
      <c r="C322" s="6" t="str">
        <f aca="false">Sheet2_Cleaned_Data!D322</f>
        <v>Residential</v>
      </c>
      <c r="D322" s="7" t="n">
        <f aca="false">IF($C322="Airport",1,0)</f>
        <v>0</v>
      </c>
      <c r="E322" s="7" t="n">
        <f aca="false">IF($C322="Mall",1,0)</f>
        <v>0</v>
      </c>
      <c r="F322" s="7" t="n">
        <f aca="false">IF($C322="Residential",1,0)</f>
        <v>1</v>
      </c>
    </row>
    <row r="323" customFormat="false" ht="15" hidden="false" customHeight="false" outlineLevel="0" collapsed="false">
      <c r="A323" s="6" t="str">
        <f aca="false">Sheet2_Cleaned_Data!A323</f>
        <v>STR-1080</v>
      </c>
      <c r="B323" s="6" t="str">
        <f aca="false">Sheet2_Cleaned_Data!B323</f>
        <v>2025-03-01</v>
      </c>
      <c r="C323" s="6" t="str">
        <f aca="false">Sheet2_Cleaned_Data!D323</f>
        <v>Residential</v>
      </c>
      <c r="D323" s="7" t="n">
        <f aca="false">IF($C323="Airport",1,0)</f>
        <v>0</v>
      </c>
      <c r="E323" s="7" t="n">
        <f aca="false">IF($C323="Mall",1,0)</f>
        <v>0</v>
      </c>
      <c r="F323" s="7" t="n">
        <f aca="false">IF($C323="Residential",1,0)</f>
        <v>1</v>
      </c>
    </row>
    <row r="324" customFormat="false" ht="15" hidden="false" customHeight="false" outlineLevel="0" collapsed="false">
      <c r="A324" s="6" t="str">
        <f aca="false">Sheet2_Cleaned_Data!A324</f>
        <v>STR-1080</v>
      </c>
      <c r="B324" s="6" t="str">
        <f aca="false">Sheet2_Cleaned_Data!B324</f>
        <v>2025-04-01</v>
      </c>
      <c r="C324" s="6" t="str">
        <f aca="false">Sheet2_Cleaned_Data!D324</f>
        <v>Residential</v>
      </c>
      <c r="D324" s="7" t="n">
        <f aca="false">IF($C324="Airport",1,0)</f>
        <v>0</v>
      </c>
      <c r="E324" s="7" t="n">
        <f aca="false">IF($C324="Mall",1,0)</f>
        <v>0</v>
      </c>
      <c r="F324" s="7" t="n">
        <f aca="false">IF($C324="Residential",1,0)</f>
        <v>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</cols>
  <sheetData>
    <row r="1" customFormat="false" ht="16.15" hidden="false" customHeight="false" outlineLevel="0" collapsed="false">
      <c r="A1" s="2" t="s">
        <v>116</v>
      </c>
    </row>
    <row r="2" customFormat="false" ht="15" hidden="false" customHeight="false" outlineLevel="0" collapsed="false">
      <c r="A2" s="5" t="s">
        <v>117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8" t="s">
        <v>118</v>
      </c>
    </row>
    <row r="5" customFormat="false" ht="15" hidden="false" customHeight="false" outlineLevel="0" collapsed="false">
      <c r="A5" s="9" t="s">
        <v>119</v>
      </c>
      <c r="B5" s="10" t="n">
        <f aca="false">INTERCEPT(Sheet2_Cleaned_Data!$M$5:$M$324,Sheet2_Cleaned_Data!$E$5:$E$324)</f>
        <v>560777.345449437</v>
      </c>
    </row>
    <row r="6" customFormat="false" ht="15" hidden="false" customHeight="false" outlineLevel="0" collapsed="false">
      <c r="A6" s="9" t="s">
        <v>120</v>
      </c>
      <c r="B6" s="10" t="n">
        <f aca="false">SLOPE(Sheet2_Cleaned_Data!$M$5:$M$324,Sheet2_Cleaned_Data!$E$5:$E$324)</f>
        <v>2.12957532758983</v>
      </c>
    </row>
    <row r="7" customFormat="false" ht="15" hidden="false" customHeight="false" outlineLevel="0" collapsed="false">
      <c r="A7" s="9" t="s">
        <v>121</v>
      </c>
      <c r="B7" s="10" t="n">
        <f aca="false">RSQ(Sheet2_Cleaned_Data!$M$5:$M$324,Sheet2_Cleaned_Data!$E$5:$E$324)</f>
        <v>0.16724469112487</v>
      </c>
    </row>
    <row r="8" customFormat="false" ht="15" hidden="false" customHeight="false" outlineLevel="0" collapsed="false">
      <c r="A8" s="9" t="s">
        <v>122</v>
      </c>
      <c r="B8" s="10" t="n">
        <f aca="false">B6/INDEX(LINEST(Sheet2_Cleaned_Data!$M$5:$M$324,Sheet2_Cleaned_Data!$E$5:$E$324,TRUE(),TRUE()),2,1)</f>
        <v>7.99155008013887</v>
      </c>
    </row>
    <row r="9" customFormat="false" ht="15" hidden="false" customHeight="false" outlineLevel="0" collapsed="false">
      <c r="A9" s="9" t="s">
        <v>123</v>
      </c>
      <c r="B9" s="10" t="n">
        <f aca="false">TDIST(ABS(B8),COUNT(Sheet2_Cleaned_Data!$E$5:$E$324)-2,2)</f>
        <v>2.480061510136E-014</v>
      </c>
    </row>
    <row r="10" customFormat="false" ht="15" hidden="false" customHeight="false" outlineLevel="0" collapsed="false">
      <c r="A10" s="9" t="s">
        <v>124</v>
      </c>
      <c r="B10" s="10" t="n">
        <f aca="false">COUNT(Sheet2_Cleaned_Data!$E$5:$E$324)</f>
        <v>320</v>
      </c>
    </row>
    <row r="12" customFormat="false" ht="15" hidden="false" customHeight="false" outlineLevel="0" collapsed="false">
      <c r="A12" s="8" t="s">
        <v>125</v>
      </c>
    </row>
    <row r="13" customFormat="false" ht="15" hidden="false" customHeight="false" outlineLevel="0" collapsed="false">
      <c r="A13" s="9" t="s">
        <v>119</v>
      </c>
      <c r="B13" s="10" t="n">
        <f aca="false">INTERCEPT(Sheet2_Cleaned_Data!$M$5:$M$324,Sheet2_Cleaned_Data!$F$5:$F$324)</f>
        <v>446410.582933954</v>
      </c>
    </row>
    <row r="14" customFormat="false" ht="15" hidden="false" customHeight="false" outlineLevel="0" collapsed="false">
      <c r="A14" s="9" t="s">
        <v>120</v>
      </c>
      <c r="B14" s="10" t="n">
        <f aca="false">SLOPE(Sheet2_Cleaned_Data!$M$5:$M$324,Sheet2_Cleaned_Data!$F$5:$F$324)</f>
        <v>35.6780310726405</v>
      </c>
    </row>
    <row r="15" customFormat="false" ht="15" hidden="false" customHeight="false" outlineLevel="0" collapsed="false">
      <c r="A15" s="9" t="s">
        <v>121</v>
      </c>
      <c r="B15" s="10" t="n">
        <f aca="false">RSQ(Sheet2_Cleaned_Data!$M$5:$M$324,Sheet2_Cleaned_Data!$F$5:$F$324)</f>
        <v>0.736285340003311</v>
      </c>
    </row>
    <row r="16" customFormat="false" ht="15" hidden="false" customHeight="false" outlineLevel="0" collapsed="false">
      <c r="A16" s="9" t="s">
        <v>122</v>
      </c>
      <c r="B16" s="10" t="n">
        <f aca="false">B14/INDEX(LINEST(Sheet2_Cleaned_Data!$M$5:$M$324,Sheet2_Cleaned_Data!$F$5:$F$324,TRUE(),TRUE()),2,1)</f>
        <v>29.7967913727764</v>
      </c>
    </row>
    <row r="17" customFormat="false" ht="15" hidden="false" customHeight="false" outlineLevel="0" collapsed="false">
      <c r="A17" s="9" t="s">
        <v>123</v>
      </c>
      <c r="B17" s="10" t="n">
        <f aca="false">TDIST(ABS(B16),COUNT(Sheet2_Cleaned_Data!$F$5:$F$324)-2,2)</f>
        <v>4.75036150900558E-094</v>
      </c>
    </row>
    <row r="18" customFormat="false" ht="15" hidden="false" customHeight="false" outlineLevel="0" collapsed="false">
      <c r="A18" s="9" t="s">
        <v>124</v>
      </c>
      <c r="B18" s="10" t="n">
        <f aca="false">COUNT(Sheet2_Cleaned_Data!$F$5:$F$324)</f>
        <v>320</v>
      </c>
    </row>
    <row r="20" customFormat="false" ht="15" hidden="false" customHeight="false" outlineLevel="0" collapsed="false">
      <c r="A20" s="8" t="s">
        <v>126</v>
      </c>
    </row>
    <row r="21" customFormat="false" ht="15" hidden="false" customHeight="false" outlineLevel="0" collapsed="false">
      <c r="A21" s="9" t="s">
        <v>119</v>
      </c>
      <c r="B21" s="10" t="n">
        <f aca="false">INTERCEPT(Sheet2_Cleaned_Data!$M$5:$M$324,Sheet2_Cleaned_Data!$G$5:$G$324)</f>
        <v>697835.629586541</v>
      </c>
    </row>
    <row r="22" customFormat="false" ht="15" hidden="false" customHeight="false" outlineLevel="0" collapsed="false">
      <c r="A22" s="9" t="s">
        <v>120</v>
      </c>
      <c r="B22" s="10" t="n">
        <f aca="false">SLOPE(Sheet2_Cleaned_Data!$M$5:$M$324,Sheet2_Cleaned_Data!$G$5:$G$324)</f>
        <v>-138730.454716381</v>
      </c>
    </row>
    <row r="23" customFormat="false" ht="15" hidden="false" customHeight="false" outlineLevel="0" collapsed="false">
      <c r="A23" s="9" t="s">
        <v>121</v>
      </c>
      <c r="B23" s="10" t="n">
        <f aca="false">RSQ(Sheet2_Cleaned_Data!$M$5:$M$324,Sheet2_Cleaned_Data!$G$5:$G$324)</f>
        <v>0.00829050302440034</v>
      </c>
    </row>
    <row r="24" customFormat="false" ht="15" hidden="false" customHeight="false" outlineLevel="0" collapsed="false">
      <c r="A24" s="9" t="s">
        <v>122</v>
      </c>
      <c r="B24" s="10" t="n">
        <f aca="false">B22/INDEX(LINEST(Sheet2_Cleaned_Data!$M$5:$M$324,Sheet2_Cleaned_Data!$G$5:$G$324,TRUE(),TRUE()),2,1)</f>
        <v>-1.63046606756236</v>
      </c>
    </row>
    <row r="25" customFormat="false" ht="15" hidden="false" customHeight="false" outlineLevel="0" collapsed="false">
      <c r="A25" s="9" t="s">
        <v>123</v>
      </c>
      <c r="B25" s="10" t="n">
        <f aca="false">TDIST(ABS(B24),COUNT(Sheet2_Cleaned_Data!$G$5:$G$324)-2,2)</f>
        <v>0.103993046419031</v>
      </c>
    </row>
    <row r="26" customFormat="false" ht="15" hidden="false" customHeight="false" outlineLevel="0" collapsed="false">
      <c r="A26" s="9" t="s">
        <v>124</v>
      </c>
      <c r="B26" s="10" t="n">
        <f aca="false">COUNT(Sheet2_Cleaned_Data!$G$5:$G$324)</f>
        <v>320</v>
      </c>
    </row>
    <row r="28" customFormat="false" ht="15" hidden="false" customHeight="false" outlineLevel="0" collapsed="false">
      <c r="A28" s="8" t="s">
        <v>127</v>
      </c>
    </row>
    <row r="29" customFormat="false" ht="15" hidden="false" customHeight="false" outlineLevel="0" collapsed="false">
      <c r="A29" s="9" t="s">
        <v>119</v>
      </c>
      <c r="B29" s="10" t="n">
        <f aca="false">INTERCEPT(Sheet2_Cleaned_Data!$M$5:$M$324,Sheet2_Cleaned_Data!$I$5:$I$324)</f>
        <v>484814.25658676</v>
      </c>
    </row>
    <row r="30" customFormat="false" ht="15" hidden="false" customHeight="false" outlineLevel="0" collapsed="false">
      <c r="A30" s="9" t="s">
        <v>120</v>
      </c>
      <c r="B30" s="10" t="n">
        <f aca="false">SLOPE(Sheet2_Cleaned_Data!$M$5:$M$324,Sheet2_Cleaned_Data!$I$5:$I$324)</f>
        <v>2217.83194099892</v>
      </c>
    </row>
    <row r="31" customFormat="false" ht="15" hidden="false" customHeight="false" outlineLevel="0" collapsed="false">
      <c r="A31" s="9" t="s">
        <v>121</v>
      </c>
      <c r="B31" s="10" t="n">
        <f aca="false">RSQ(Sheet2_Cleaned_Data!$M$5:$M$324,Sheet2_Cleaned_Data!$I$5:$I$324)</f>
        <v>0.0131150159644044</v>
      </c>
    </row>
    <row r="32" customFormat="false" ht="15" hidden="false" customHeight="false" outlineLevel="0" collapsed="false">
      <c r="A32" s="9" t="s">
        <v>122</v>
      </c>
      <c r="B32" s="10" t="n">
        <f aca="false">B30/INDEX(LINEST(Sheet2_Cleaned_Data!$M$5:$M$324,Sheet2_Cleaned_Data!$I$5:$I$324,TRUE(),TRUE()),2,1)</f>
        <v>2.05572350345069</v>
      </c>
    </row>
    <row r="33" customFormat="false" ht="15" hidden="false" customHeight="false" outlineLevel="0" collapsed="false">
      <c r="A33" s="9" t="s">
        <v>123</v>
      </c>
      <c r="B33" s="10" t="n">
        <f aca="false">TDIST(ABS(B32),COUNT(Sheet2_Cleaned_Data!$I$5:$I$324)-2,2)</f>
        <v>0.0406252966301654</v>
      </c>
    </row>
    <row r="34" customFormat="false" ht="15" hidden="false" customHeight="false" outlineLevel="0" collapsed="false">
      <c r="A34" s="9" t="s">
        <v>124</v>
      </c>
      <c r="B34" s="10" t="n">
        <f aca="false">COUNT(Sheet2_Cleaned_Data!$I$5:$I$324)</f>
        <v>320</v>
      </c>
    </row>
    <row r="36" customFormat="false" ht="15" hidden="false" customHeight="false" outlineLevel="0" collapsed="false">
      <c r="A36" s="8" t="s">
        <v>128</v>
      </c>
    </row>
    <row r="37" customFormat="false" ht="15" hidden="false" customHeight="false" outlineLevel="0" collapsed="false">
      <c r="A37" s="9" t="s">
        <v>119</v>
      </c>
      <c r="B37" s="10" t="n">
        <f aca="false">INTERCEPT(Sheet2_Cleaned_Data!$M$5:$M$324,Sheet2_Cleaned_Data!$P$5:$P$324)</f>
        <v>701366.863609075</v>
      </c>
    </row>
    <row r="38" customFormat="false" ht="15" hidden="false" customHeight="false" outlineLevel="0" collapsed="false">
      <c r="A38" s="9" t="s">
        <v>120</v>
      </c>
      <c r="B38" s="10" t="n">
        <f aca="false">SLOPE(Sheet2_Cleaned_Data!$M$5:$M$324,Sheet2_Cleaned_Data!$P$5:$P$324)</f>
        <v>-5284.8663175153</v>
      </c>
    </row>
    <row r="39" customFormat="false" ht="15" hidden="false" customHeight="false" outlineLevel="0" collapsed="false">
      <c r="A39" s="9" t="s">
        <v>121</v>
      </c>
      <c r="B39" s="10" t="n">
        <f aca="false">RSQ(Sheet2_Cleaned_Data!$M$5:$M$324,Sheet2_Cleaned_Data!$P$5:$P$324)</f>
        <v>0.000698452655965146</v>
      </c>
    </row>
    <row r="40" customFormat="false" ht="15" hidden="false" customHeight="false" outlineLevel="0" collapsed="false">
      <c r="A40" s="9" t="s">
        <v>122</v>
      </c>
      <c r="B40" s="10" t="n">
        <f aca="false">B38/INDEX(LINEST(Sheet2_Cleaned_Data!$M$5:$M$324,Sheet2_Cleaned_Data!$P$5:$P$324,TRUE(),TRUE()),2,1)</f>
        <v>-0.471447966279142</v>
      </c>
    </row>
    <row r="41" customFormat="false" ht="15" hidden="false" customHeight="false" outlineLevel="0" collapsed="false">
      <c r="A41" s="9" t="s">
        <v>123</v>
      </c>
      <c r="B41" s="10" t="n">
        <f aca="false">TDIST(ABS(B40),COUNT(Sheet2_Cleaned_Data!$P$5:$P$324)-2,2)</f>
        <v>0.637644151039515</v>
      </c>
    </row>
    <row r="42" customFormat="false" ht="15" hidden="false" customHeight="false" outlineLevel="0" collapsed="false">
      <c r="A42" s="9" t="s">
        <v>124</v>
      </c>
      <c r="B42" s="10" t="n">
        <f aca="false">COUNT(Sheet2_Cleaned_Data!$P$5:$P$324)</f>
        <v>320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14"/>
    <col collapsed="false" customWidth="true" hidden="false" outlineLevel="0" max="9" min="9" style="1" width="4"/>
    <col collapsed="false" customWidth="true" hidden="false" outlineLevel="0" max="11" min="10" style="1" width="16"/>
    <col collapsed="false" customWidth="true" hidden="false" outlineLevel="0" max="14" min="12" style="1" width="12"/>
  </cols>
  <sheetData>
    <row r="1" customFormat="false" ht="16.15" hidden="false" customHeight="false" outlineLevel="0" collapsed="false">
      <c r="A1" s="2" t="s">
        <v>129</v>
      </c>
    </row>
    <row r="2" customFormat="false" ht="15" hidden="false" customHeight="false" outlineLevel="0" collapsed="false">
      <c r="A2" s="5" t="s">
        <v>130</v>
      </c>
      <c r="B2" s="5"/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A4" s="8" t="s">
        <v>131</v>
      </c>
      <c r="J4" s="11" t="s">
        <v>132</v>
      </c>
      <c r="K4" s="11"/>
      <c r="L4" s="11"/>
    </row>
    <row r="5" customFormat="false" ht="23.85" hidden="false" customHeight="false" outlineLevel="0" collapsed="false">
      <c r="A5" s="3" t="s">
        <v>5</v>
      </c>
      <c r="B5" s="3" t="s">
        <v>6</v>
      </c>
      <c r="C5" s="3" t="s">
        <v>7</v>
      </c>
      <c r="D5" s="3" t="s">
        <v>9</v>
      </c>
      <c r="E5" s="3" t="s">
        <v>113</v>
      </c>
      <c r="F5" s="3" t="s">
        <v>114</v>
      </c>
      <c r="G5" s="3" t="s">
        <v>115</v>
      </c>
      <c r="I5" s="12" t="s">
        <v>133</v>
      </c>
      <c r="J5" s="13" t="s">
        <v>134</v>
      </c>
      <c r="K5" s="13" t="s">
        <v>135</v>
      </c>
      <c r="L5" s="13" t="s">
        <v>136</v>
      </c>
      <c r="M5" s="13" t="s">
        <v>137</v>
      </c>
    </row>
    <row r="6" customFormat="false" ht="15" hidden="false" customHeight="false" outlineLevel="0" collapsed="false">
      <c r="A6" s="6" t="n">
        <f aca="false">Sheet2_Cleaned_Data!E5</f>
        <v>70389.11</v>
      </c>
      <c r="B6" s="6" t="n">
        <f aca="false">Sheet2_Cleaned_Data!F5</f>
        <v>8302</v>
      </c>
      <c r="C6" s="6" t="n">
        <f aca="false">Sheet2_Cleaned_Data!G5</f>
        <v>0.042</v>
      </c>
      <c r="D6" s="6" t="n">
        <f aca="false">Sheet2_Cleaned_Data!I5</f>
        <v>75</v>
      </c>
      <c r="E6" s="6" t="n">
        <f aca="false">Sheet3_Dummy_Variables!D5</f>
        <v>0</v>
      </c>
      <c r="F6" s="6" t="n">
        <f aca="false">Sheet3_Dummy_Variables!E5</f>
        <v>0</v>
      </c>
      <c r="G6" s="6" t="n">
        <f aca="false">Sheet3_Dummy_Variables!F5</f>
        <v>1</v>
      </c>
      <c r="I6" s="9" t="s">
        <v>138</v>
      </c>
      <c r="J6" s="14" t="n">
        <f aca="false">INDEX(LINEST(Sheet2_Cleaned_Data!$M$5:$M$324,$A$6:$G$325,TRUE(),TRUE()),1,8)</f>
        <v>136913.646906602</v>
      </c>
      <c r="K6" s="14" t="n">
        <f aca="false">INDEX(LINEST(Sheet2_Cleaned_Data!$M$5:$M$324,$A$6:$G$325,TRUE(),TRUE()),2,8)</f>
        <v>43429.5101022359</v>
      </c>
      <c r="L6" s="14" t="n">
        <f aca="false">J6/K6</f>
        <v>3.15254872975306</v>
      </c>
      <c r="M6" s="14" t="n">
        <f aca="false">TDIST(ABS(L6),(COUNT(Sheet2_Cleaned_Data!$M$5:$M$324)-7-1),2)</f>
        <v>0.00177582455916619</v>
      </c>
    </row>
    <row r="7" customFormat="false" ht="15" hidden="false" customHeight="false" outlineLevel="0" collapsed="false">
      <c r="A7" s="6" t="n">
        <f aca="false">Sheet2_Cleaned_Data!E6</f>
        <v>43827.89</v>
      </c>
      <c r="B7" s="6" t="n">
        <f aca="false">Sheet2_Cleaned_Data!F6</f>
        <v>8487</v>
      </c>
      <c r="C7" s="6" t="n">
        <f aca="false">Sheet2_Cleaned_Data!G6</f>
        <v>0.168</v>
      </c>
      <c r="D7" s="6" t="n">
        <f aca="false">Sheet2_Cleaned_Data!I6</f>
        <v>84.4</v>
      </c>
      <c r="E7" s="6" t="n">
        <f aca="false">Sheet3_Dummy_Variables!D6</f>
        <v>0</v>
      </c>
      <c r="F7" s="6" t="n">
        <f aca="false">Sheet3_Dummy_Variables!E6</f>
        <v>0</v>
      </c>
      <c r="G7" s="6" t="n">
        <f aca="false">Sheet3_Dummy_Variables!F6</f>
        <v>1</v>
      </c>
      <c r="I7" s="9" t="s">
        <v>5</v>
      </c>
      <c r="J7" s="14" t="n">
        <f aca="false">INDEX(LINEST(Sheet2_Cleaned_Data!$M$5:$M$324,$A$6:$G$325,TRUE(),TRUE()),1,7)</f>
        <v>1.16549293495959</v>
      </c>
      <c r="K7" s="14" t="n">
        <f aca="false">INDEX(LINEST(Sheet2_Cleaned_Data!$M$5:$M$324,$A$6:$G$325,TRUE(),TRUE()),2,7)</f>
        <v>0.12848737134901</v>
      </c>
      <c r="L7" s="14" t="n">
        <f aca="false">J7/K7</f>
        <v>9.07087539205518</v>
      </c>
      <c r="M7" s="14" t="n">
        <f aca="false">TDIST(ABS(L7),(COUNT(Sheet2_Cleaned_Data!$M$5:$M$324)-7-1),2)</f>
        <v>1.35554614073601E-017</v>
      </c>
    </row>
    <row r="8" customFormat="false" ht="15" hidden="false" customHeight="false" outlineLevel="0" collapsed="false">
      <c r="A8" s="6" t="n">
        <f aca="false">Sheet2_Cleaned_Data!E7</f>
        <v>59921.75</v>
      </c>
      <c r="B8" s="6" t="n">
        <f aca="false">Sheet2_Cleaned_Data!F7</f>
        <v>9113</v>
      </c>
      <c r="C8" s="6" t="n">
        <f aca="false">Sheet2_Cleaned_Data!G7</f>
        <v>0.133</v>
      </c>
      <c r="D8" s="6" t="n">
        <f aca="false">Sheet2_Cleaned_Data!I7</f>
        <v>88</v>
      </c>
      <c r="E8" s="6" t="n">
        <f aca="false">Sheet3_Dummy_Variables!D7</f>
        <v>0</v>
      </c>
      <c r="F8" s="6" t="n">
        <f aca="false">Sheet3_Dummy_Variables!E7</f>
        <v>0</v>
      </c>
      <c r="G8" s="6" t="n">
        <f aca="false">Sheet3_Dummy_Variables!F7</f>
        <v>1</v>
      </c>
      <c r="I8" s="9" t="s">
        <v>6</v>
      </c>
      <c r="J8" s="14" t="n">
        <f aca="false">INDEX(LINEST(Sheet2_Cleaned_Data!$M$5:$M$324,$A$6:$G$325,TRUE(),TRUE()),1,6)</f>
        <v>33.6644049854281</v>
      </c>
      <c r="K8" s="14" t="n">
        <f aca="false">INDEX(LINEST(Sheet2_Cleaned_Data!$M$5:$M$324,$A$6:$G$325,TRUE(),TRUE()),2,6)</f>
        <v>1.03083431836507</v>
      </c>
      <c r="L8" s="14" t="n">
        <f aca="false">J8/K8</f>
        <v>32.6574352305429</v>
      </c>
      <c r="M8" s="14" t="n">
        <f aca="false">TDIST(ABS(L8),(COUNT(Sheet2_Cleaned_Data!$M$5:$M$324)-7-1),2)</f>
        <v>1.12226970686139E-102</v>
      </c>
    </row>
    <row r="9" customFormat="false" ht="15" hidden="false" customHeight="false" outlineLevel="0" collapsed="false">
      <c r="A9" s="6" t="n">
        <f aca="false">Sheet2_Cleaned_Data!E8</f>
        <v>56856.63</v>
      </c>
      <c r="B9" s="6" t="n">
        <f aca="false">Sheet2_Cleaned_Data!F8</f>
        <v>9431</v>
      </c>
      <c r="C9" s="6" t="n">
        <f aca="false">Sheet2_Cleaned_Data!G8</f>
        <v>0.142</v>
      </c>
      <c r="D9" s="6" t="n">
        <f aca="false">Sheet2_Cleaned_Data!I8</f>
        <v>86.9</v>
      </c>
      <c r="E9" s="6" t="n">
        <f aca="false">Sheet3_Dummy_Variables!D8</f>
        <v>0</v>
      </c>
      <c r="F9" s="6" t="n">
        <f aca="false">Sheet3_Dummy_Variables!E8</f>
        <v>0</v>
      </c>
      <c r="G9" s="6" t="n">
        <f aca="false">Sheet3_Dummy_Variables!F8</f>
        <v>1</v>
      </c>
      <c r="I9" s="9" t="s">
        <v>7</v>
      </c>
      <c r="J9" s="14" t="n">
        <f aca="false">INDEX(LINEST(Sheet2_Cleaned_Data!$M$5:$M$324,$A$6:$G$325,TRUE(),TRUE()),1,5)</f>
        <v>-58920.8069366305</v>
      </c>
      <c r="K9" s="14" t="n">
        <f aca="false">INDEX(LINEST(Sheet2_Cleaned_Data!$M$5:$M$324,$A$6:$G$325,TRUE(),TRUE()),2,5)</f>
        <v>36743.0208449695</v>
      </c>
      <c r="L9" s="14" t="n">
        <f aca="false">J9/K9</f>
        <v>-1.60359180006554</v>
      </c>
      <c r="M9" s="14" t="n">
        <f aca="false">TDIST(ABS(L9),(COUNT(Sheet2_Cleaned_Data!$M$5:$M$324)-7-1),2)</f>
        <v>0.109815855247753</v>
      </c>
    </row>
    <row r="10" customFormat="false" ht="15" hidden="false" customHeight="false" outlineLevel="0" collapsed="false">
      <c r="A10" s="6" t="n">
        <f aca="false">Sheet2_Cleaned_Data!E9</f>
        <v>48412.64</v>
      </c>
      <c r="B10" s="6" t="n">
        <f aca="false">Sheet2_Cleaned_Data!F9</f>
        <v>9545</v>
      </c>
      <c r="C10" s="6" t="n">
        <f aca="false">Sheet2_Cleaned_Data!G9</f>
        <v>0.231</v>
      </c>
      <c r="D10" s="6" t="n">
        <f aca="false">Sheet2_Cleaned_Data!I9</f>
        <v>97.6</v>
      </c>
      <c r="E10" s="6" t="n">
        <f aca="false">Sheet3_Dummy_Variables!D9</f>
        <v>0</v>
      </c>
      <c r="F10" s="6" t="n">
        <f aca="false">Sheet3_Dummy_Variables!E9</f>
        <v>0</v>
      </c>
      <c r="G10" s="6" t="n">
        <f aca="false">Sheet3_Dummy_Variables!F9</f>
        <v>0</v>
      </c>
      <c r="I10" s="9" t="s">
        <v>9</v>
      </c>
      <c r="J10" s="14" t="n">
        <f aca="false">INDEX(LINEST(Sheet2_Cleaned_Data!$M$5:$M$324,$A$6:$G$325,TRUE(),TRUE()),1,4)</f>
        <v>3001.19570526327</v>
      </c>
      <c r="K10" s="14" t="n">
        <f aca="false">INDEX(LINEST(Sheet2_Cleaned_Data!$M$5:$M$324,$A$6:$G$325,TRUE(),TRUE()),2,4)</f>
        <v>466.597554341012</v>
      </c>
      <c r="L10" s="14" t="n">
        <f aca="false">J10/K10</f>
        <v>6.4320862322177</v>
      </c>
      <c r="M10" s="14" t="n">
        <f aca="false">TDIST(ABS(L10),(COUNT(Sheet2_Cleaned_Data!$M$5:$M$324)-7-1),2)</f>
        <v>4.72456846556927E-010</v>
      </c>
    </row>
    <row r="11" customFormat="false" ht="15" hidden="false" customHeight="false" outlineLevel="0" collapsed="false">
      <c r="A11" s="6" t="n">
        <f aca="false">Sheet2_Cleaned_Data!E10</f>
        <v>64811.21</v>
      </c>
      <c r="B11" s="6" t="n">
        <f aca="false">Sheet2_Cleaned_Data!F10</f>
        <v>9792</v>
      </c>
      <c r="C11" s="6" t="n">
        <f aca="false">Sheet2_Cleaned_Data!G10</f>
        <v>0.112</v>
      </c>
      <c r="D11" s="6" t="n">
        <f aca="false">Sheet2_Cleaned_Data!I10</f>
        <v>84.2</v>
      </c>
      <c r="E11" s="6" t="n">
        <f aca="false">Sheet3_Dummy_Variables!D10</f>
        <v>0</v>
      </c>
      <c r="F11" s="6" t="n">
        <f aca="false">Sheet3_Dummy_Variables!E10</f>
        <v>0</v>
      </c>
      <c r="G11" s="6" t="n">
        <f aca="false">Sheet3_Dummy_Variables!F10</f>
        <v>0</v>
      </c>
      <c r="I11" s="9" t="s">
        <v>113</v>
      </c>
      <c r="J11" s="14" t="n">
        <f aca="false">INDEX(LINEST(Sheet2_Cleaned_Data!$M$5:$M$324,$A$6:$G$325,TRUE(),TRUE()),1,3)</f>
        <v>21905.7145520204</v>
      </c>
      <c r="K11" s="14" t="n">
        <f aca="false">INDEX(LINEST(Sheet2_Cleaned_Data!$M$5:$M$324,$A$6:$G$325,TRUE(),TRUE()),2,3)</f>
        <v>9402.08757190117</v>
      </c>
      <c r="L11" s="14" t="n">
        <f aca="false">J11/K11</f>
        <v>2.32987774092716</v>
      </c>
      <c r="M11" s="14" t="n">
        <f aca="false">TDIST(ABS(L11),(COUNT(Sheet2_Cleaned_Data!$M$5:$M$324)-7-1),2)</f>
        <v>0.020450265191265</v>
      </c>
    </row>
    <row r="12" customFormat="false" ht="15" hidden="false" customHeight="false" outlineLevel="0" collapsed="false">
      <c r="A12" s="6" t="n">
        <f aca="false">Sheet2_Cleaned_Data!E11</f>
        <v>46213.45</v>
      </c>
      <c r="B12" s="6" t="n">
        <f aca="false">Sheet2_Cleaned_Data!F11</f>
        <v>10616</v>
      </c>
      <c r="C12" s="6" t="n">
        <f aca="false">Sheet2_Cleaned_Data!G11</f>
        <v>0.122</v>
      </c>
      <c r="D12" s="6" t="n">
        <f aca="false">Sheet2_Cleaned_Data!I11</f>
        <v>85.2</v>
      </c>
      <c r="E12" s="6" t="n">
        <f aca="false">Sheet3_Dummy_Variables!D11</f>
        <v>0</v>
      </c>
      <c r="F12" s="6" t="n">
        <f aca="false">Sheet3_Dummy_Variables!E11</f>
        <v>0</v>
      </c>
      <c r="G12" s="6" t="n">
        <f aca="false">Sheet3_Dummy_Variables!F11</f>
        <v>0</v>
      </c>
      <c r="I12" s="9" t="s">
        <v>114</v>
      </c>
      <c r="J12" s="14" t="n">
        <f aca="false">INDEX(LINEST(Sheet2_Cleaned_Data!$M$5:$M$324,$A$6:$G$325,TRUE(),TRUE()),1,2)</f>
        <v>11433.4637362924</v>
      </c>
      <c r="K12" s="14" t="n">
        <f aca="false">INDEX(LINEST(Sheet2_Cleaned_Data!$M$5:$M$324,$A$6:$G$325,TRUE(),TRUE()),2,2)</f>
        <v>6578.0771839923</v>
      </c>
      <c r="L12" s="14" t="n">
        <f aca="false">J12/K12</f>
        <v>1.73811638515212</v>
      </c>
      <c r="M12" s="14" t="n">
        <f aca="false">TDIST(ABS(L12),(COUNT(Sheet2_Cleaned_Data!$M$5:$M$324)-7-1),2)</f>
        <v>0.0831769032816593</v>
      </c>
    </row>
    <row r="13" customFormat="false" ht="15" hidden="false" customHeight="false" outlineLevel="0" collapsed="false">
      <c r="A13" s="6" t="n">
        <f aca="false">Sheet2_Cleaned_Data!E12</f>
        <v>68148.52</v>
      </c>
      <c r="B13" s="6" t="n">
        <f aca="false">Sheet2_Cleaned_Data!F12</f>
        <v>8567</v>
      </c>
      <c r="C13" s="6" t="n">
        <f aca="false">Sheet2_Cleaned_Data!G12</f>
        <v>0.127</v>
      </c>
      <c r="D13" s="6" t="n">
        <f aca="false">Sheet2_Cleaned_Data!I12</f>
        <v>95.6</v>
      </c>
      <c r="E13" s="6" t="n">
        <f aca="false">Sheet3_Dummy_Variables!D12</f>
        <v>0</v>
      </c>
      <c r="F13" s="6" t="n">
        <f aca="false">Sheet3_Dummy_Variables!E12</f>
        <v>0</v>
      </c>
      <c r="G13" s="6" t="n">
        <f aca="false">Sheet3_Dummy_Variables!F12</f>
        <v>0</v>
      </c>
      <c r="I13" s="9" t="s">
        <v>115</v>
      </c>
      <c r="J13" s="14" t="n">
        <f aca="false">INDEX(LINEST(Sheet2_Cleaned_Data!$M$5:$M$324,$A$6:$G$325,TRUE(),TRUE()),1,1)</f>
        <v>-16575.8477162945</v>
      </c>
      <c r="K13" s="14" t="n">
        <f aca="false">INDEX(LINEST(Sheet2_Cleaned_Data!$M$5:$M$324,$A$6:$G$325,TRUE(),TRUE()),2,1)</f>
        <v>6085.62668396437</v>
      </c>
      <c r="L13" s="14" t="n">
        <f aca="false">J13/K13</f>
        <v>-2.72377005312729</v>
      </c>
      <c r="M13" s="14" t="n">
        <f aca="false">TDIST(ABS(L13),(COUNT(Sheet2_Cleaned_Data!$M$5:$M$324)-7-1),2)</f>
        <v>0.00681772383411794</v>
      </c>
    </row>
    <row r="14" customFormat="false" ht="15" hidden="false" customHeight="false" outlineLevel="0" collapsed="false">
      <c r="A14" s="6" t="n">
        <f aca="false">Sheet2_Cleaned_Data!E13</f>
        <v>71838.86</v>
      </c>
      <c r="B14" s="6" t="n">
        <f aca="false">Sheet2_Cleaned_Data!F13</f>
        <v>10979</v>
      </c>
      <c r="C14" s="6" t="n">
        <f aca="false">Sheet2_Cleaned_Data!G13</f>
        <v>0.215</v>
      </c>
      <c r="D14" s="6" t="n">
        <f aca="false">Sheet2_Cleaned_Data!I13</f>
        <v>88.6</v>
      </c>
      <c r="E14" s="6" t="n">
        <f aca="false">Sheet3_Dummy_Variables!D13</f>
        <v>1</v>
      </c>
      <c r="F14" s="6" t="n">
        <f aca="false">Sheet3_Dummy_Variables!E13</f>
        <v>0</v>
      </c>
      <c r="G14" s="6" t="n">
        <f aca="false">Sheet3_Dummy_Variables!F13</f>
        <v>0</v>
      </c>
    </row>
    <row r="15" customFormat="false" ht="15" hidden="false" customHeight="false" outlineLevel="0" collapsed="false">
      <c r="A15" s="6" t="n">
        <f aca="false">Sheet2_Cleaned_Data!E14</f>
        <v>68133.44</v>
      </c>
      <c r="B15" s="6" t="n">
        <f aca="false">Sheet2_Cleaned_Data!F14</f>
        <v>9459</v>
      </c>
      <c r="C15" s="6" t="n">
        <f aca="false">Sheet2_Cleaned_Data!G14</f>
        <v>0.22</v>
      </c>
      <c r="D15" s="6" t="n">
        <f aca="false">Sheet2_Cleaned_Data!I14</f>
        <v>85</v>
      </c>
      <c r="E15" s="6" t="n">
        <f aca="false">Sheet3_Dummy_Variables!D14</f>
        <v>1</v>
      </c>
      <c r="F15" s="6" t="n">
        <f aca="false">Sheet3_Dummy_Variables!E14</f>
        <v>0</v>
      </c>
      <c r="G15" s="6" t="n">
        <f aca="false">Sheet3_Dummy_Variables!F14</f>
        <v>0</v>
      </c>
      <c r="I15" s="8" t="s">
        <v>121</v>
      </c>
      <c r="J15" s="10" t="n">
        <f aca="false">INDEX(LINEST(Sheet2_Cleaned_Data!$M$5:$M$324,$A$6:$G$325,TRUE(),TRUE()),3,1)</f>
        <v>0.82139227683729</v>
      </c>
    </row>
    <row r="16" customFormat="false" ht="15" hidden="false" customHeight="false" outlineLevel="0" collapsed="false">
      <c r="A16" s="6" t="n">
        <f aca="false">Sheet2_Cleaned_Data!E15</f>
        <v>34285.21</v>
      </c>
      <c r="B16" s="6" t="n">
        <f aca="false">Sheet2_Cleaned_Data!F15</f>
        <v>9172</v>
      </c>
      <c r="C16" s="6" t="n">
        <f aca="false">Sheet2_Cleaned_Data!G15</f>
        <v>0.213</v>
      </c>
      <c r="D16" s="6" t="n">
        <f aca="false">Sheet2_Cleaned_Data!I15</f>
        <v>88.3</v>
      </c>
      <c r="E16" s="6" t="n">
        <f aca="false">Sheet3_Dummy_Variables!D15</f>
        <v>1</v>
      </c>
      <c r="F16" s="6" t="n">
        <f aca="false">Sheet3_Dummy_Variables!E15</f>
        <v>0</v>
      </c>
      <c r="G16" s="6" t="n">
        <f aca="false">Sheet3_Dummy_Variables!F15</f>
        <v>0</v>
      </c>
      <c r="I16" s="8" t="s">
        <v>139</v>
      </c>
      <c r="J16" s="10" t="n">
        <f aca="false">INDEX(LINEST(Sheet2_Cleaned_Data!$M$5:$M$324,$A$6:$G$325,TRUE(),TRUE()),4,1)</f>
        <v>204.977850609654</v>
      </c>
    </row>
    <row r="17" customFormat="false" ht="15" hidden="false" customHeight="false" outlineLevel="0" collapsed="false">
      <c r="A17" s="6" t="n">
        <f aca="false">Sheet2_Cleaned_Data!E16</f>
        <v>67979.88</v>
      </c>
      <c r="B17" s="6" t="n">
        <f aca="false">Sheet2_Cleaned_Data!F16</f>
        <v>11230</v>
      </c>
      <c r="C17" s="6" t="n">
        <f aca="false">Sheet2_Cleaned_Data!G16</f>
        <v>0.002</v>
      </c>
      <c r="D17" s="6" t="n">
        <f aca="false">Sheet2_Cleaned_Data!I16</f>
        <v>85.3</v>
      </c>
      <c r="E17" s="6" t="n">
        <f aca="false">Sheet3_Dummy_Variables!D16</f>
        <v>1</v>
      </c>
      <c r="F17" s="6" t="n">
        <f aca="false">Sheet3_Dummy_Variables!E16</f>
        <v>0</v>
      </c>
      <c r="G17" s="6" t="n">
        <f aca="false">Sheet3_Dummy_Variables!F16</f>
        <v>0</v>
      </c>
      <c r="I17" s="8" t="s">
        <v>124</v>
      </c>
      <c r="J17" s="10" t="n">
        <f aca="false">COUNT(Sheet2_Cleaned_Data!$M$5:$M$324)</f>
        <v>320</v>
      </c>
    </row>
    <row r="18" customFormat="false" ht="15" hidden="false" customHeight="false" outlineLevel="0" collapsed="false">
      <c r="A18" s="6" t="n">
        <f aca="false">Sheet2_Cleaned_Data!E17</f>
        <v>71828.26</v>
      </c>
      <c r="B18" s="6" t="n">
        <f aca="false">Sheet2_Cleaned_Data!F17</f>
        <v>12775</v>
      </c>
      <c r="C18" s="6" t="n">
        <f aca="false">Sheet2_Cleaned_Data!G17</f>
        <v>0.116</v>
      </c>
      <c r="D18" s="6" t="n">
        <f aca="false">Sheet2_Cleaned_Data!I17</f>
        <v>81.7</v>
      </c>
      <c r="E18" s="6" t="n">
        <f aca="false">Sheet3_Dummy_Variables!D17</f>
        <v>0</v>
      </c>
      <c r="F18" s="6" t="n">
        <f aca="false">Sheet3_Dummy_Variables!E17</f>
        <v>0</v>
      </c>
      <c r="G18" s="6" t="n">
        <f aca="false">Sheet3_Dummy_Variables!F17</f>
        <v>1</v>
      </c>
    </row>
    <row r="19" customFormat="false" ht="15" hidden="false" customHeight="false" outlineLevel="0" collapsed="false">
      <c r="A19" s="6" t="n">
        <f aca="false">Sheet2_Cleaned_Data!E18</f>
        <v>55716.82</v>
      </c>
      <c r="B19" s="6" t="n">
        <f aca="false">Sheet2_Cleaned_Data!F18</f>
        <v>10054</v>
      </c>
      <c r="C19" s="6" t="n">
        <f aca="false">Sheet2_Cleaned_Data!G18</f>
        <v>0.146</v>
      </c>
      <c r="D19" s="6" t="n">
        <f aca="false">Sheet2_Cleaned_Data!I18</f>
        <v>84.9</v>
      </c>
      <c r="E19" s="6" t="n">
        <f aca="false">Sheet3_Dummy_Variables!D18</f>
        <v>0</v>
      </c>
      <c r="F19" s="6" t="n">
        <f aca="false">Sheet3_Dummy_Variables!E18</f>
        <v>0</v>
      </c>
      <c r="G19" s="6" t="n">
        <f aca="false">Sheet3_Dummy_Variables!F18</f>
        <v>1</v>
      </c>
    </row>
    <row r="20" customFormat="false" ht="15" hidden="false" customHeight="false" outlineLevel="0" collapsed="false">
      <c r="A20" s="6" t="n">
        <f aca="false">Sheet2_Cleaned_Data!E19</f>
        <v>59909.51</v>
      </c>
      <c r="B20" s="6" t="n">
        <f aca="false">Sheet2_Cleaned_Data!F19</f>
        <v>8895</v>
      </c>
      <c r="C20" s="6" t="n">
        <f aca="false">Sheet2_Cleaned_Data!G19</f>
        <v>0.228</v>
      </c>
      <c r="D20" s="6" t="n">
        <f aca="false">Sheet2_Cleaned_Data!I19</f>
        <v>88.8</v>
      </c>
      <c r="E20" s="6" t="n">
        <f aca="false">Sheet3_Dummy_Variables!D19</f>
        <v>0</v>
      </c>
      <c r="F20" s="6" t="n">
        <f aca="false">Sheet3_Dummy_Variables!E19</f>
        <v>0</v>
      </c>
      <c r="G20" s="6" t="n">
        <f aca="false">Sheet3_Dummy_Variables!F19</f>
        <v>1</v>
      </c>
    </row>
    <row r="21" customFormat="false" ht="15" hidden="false" customHeight="false" outlineLevel="0" collapsed="false">
      <c r="A21" s="6" t="n">
        <f aca="false">Sheet2_Cleaned_Data!E20</f>
        <v>75305.71</v>
      </c>
      <c r="B21" s="6" t="n">
        <f aca="false">Sheet2_Cleaned_Data!F20</f>
        <v>10940</v>
      </c>
      <c r="C21" s="6" t="n">
        <f aca="false">Sheet2_Cleaned_Data!G20</f>
        <v>0.006</v>
      </c>
      <c r="D21" s="6" t="n">
        <f aca="false">Sheet2_Cleaned_Data!I20</f>
        <v>76.5</v>
      </c>
      <c r="E21" s="6" t="n">
        <f aca="false">Sheet3_Dummy_Variables!D20</f>
        <v>0</v>
      </c>
      <c r="F21" s="6" t="n">
        <f aca="false">Sheet3_Dummy_Variables!E20</f>
        <v>0</v>
      </c>
      <c r="G21" s="6" t="n">
        <f aca="false">Sheet3_Dummy_Variables!F20</f>
        <v>1</v>
      </c>
    </row>
    <row r="22" customFormat="false" ht="15" hidden="false" customHeight="false" outlineLevel="0" collapsed="false">
      <c r="A22" s="6" t="n">
        <f aca="false">Sheet2_Cleaned_Data!E21</f>
        <v>48804.22</v>
      </c>
      <c r="B22" s="6" t="n">
        <f aca="false">Sheet2_Cleaned_Data!F21</f>
        <v>7057</v>
      </c>
      <c r="C22" s="6" t="n">
        <f aca="false">Sheet2_Cleaned_Data!G21</f>
        <v>0.005</v>
      </c>
      <c r="D22" s="6" t="n">
        <f aca="false">Sheet2_Cleaned_Data!I21</f>
        <v>87.7</v>
      </c>
      <c r="E22" s="6" t="n">
        <f aca="false">Sheet3_Dummy_Variables!D21</f>
        <v>0</v>
      </c>
      <c r="F22" s="6" t="n">
        <f aca="false">Sheet3_Dummy_Variables!E21</f>
        <v>0</v>
      </c>
      <c r="G22" s="6" t="n">
        <f aca="false">Sheet3_Dummy_Variables!F21</f>
        <v>1</v>
      </c>
    </row>
    <row r="23" customFormat="false" ht="15" hidden="false" customHeight="false" outlineLevel="0" collapsed="false">
      <c r="A23" s="6" t="n">
        <f aca="false">Sheet2_Cleaned_Data!E22</f>
        <v>59117.9</v>
      </c>
      <c r="B23" s="6" t="n">
        <f aca="false">Sheet2_Cleaned_Data!F22</f>
        <v>4263</v>
      </c>
      <c r="C23" s="6" t="n">
        <f aca="false">Sheet2_Cleaned_Data!G22</f>
        <v>0.119</v>
      </c>
      <c r="D23" s="6" t="n">
        <f aca="false">Sheet2_Cleaned_Data!I22</f>
        <v>87.6</v>
      </c>
      <c r="E23" s="6" t="n">
        <f aca="false">Sheet3_Dummy_Variables!D22</f>
        <v>0</v>
      </c>
      <c r="F23" s="6" t="n">
        <f aca="false">Sheet3_Dummy_Variables!E22</f>
        <v>0</v>
      </c>
      <c r="G23" s="6" t="n">
        <f aca="false">Sheet3_Dummy_Variables!F22</f>
        <v>1</v>
      </c>
    </row>
    <row r="24" customFormat="false" ht="15" hidden="false" customHeight="false" outlineLevel="0" collapsed="false">
      <c r="A24" s="6" t="n">
        <f aca="false">Sheet2_Cleaned_Data!E23</f>
        <v>78831.12</v>
      </c>
      <c r="B24" s="6" t="n">
        <f aca="false">Sheet2_Cleaned_Data!F23</f>
        <v>5538</v>
      </c>
      <c r="C24" s="6" t="n">
        <f aca="false">Sheet2_Cleaned_Data!G23</f>
        <v>0</v>
      </c>
      <c r="D24" s="6" t="n">
        <f aca="false">Sheet2_Cleaned_Data!I23</f>
        <v>94.1</v>
      </c>
      <c r="E24" s="6" t="n">
        <f aca="false">Sheet3_Dummy_Variables!D23</f>
        <v>0</v>
      </c>
      <c r="F24" s="6" t="n">
        <f aca="false">Sheet3_Dummy_Variables!E23</f>
        <v>0</v>
      </c>
      <c r="G24" s="6" t="n">
        <f aca="false">Sheet3_Dummy_Variables!F23</f>
        <v>1</v>
      </c>
    </row>
    <row r="25" customFormat="false" ht="15" hidden="false" customHeight="false" outlineLevel="0" collapsed="false">
      <c r="A25" s="6" t="n">
        <f aca="false">Sheet2_Cleaned_Data!E24</f>
        <v>41441.93</v>
      </c>
      <c r="B25" s="6" t="n">
        <f aca="false">Sheet2_Cleaned_Data!F24</f>
        <v>4865</v>
      </c>
      <c r="C25" s="6" t="n">
        <f aca="false">Sheet2_Cleaned_Data!G24</f>
        <v>0.158</v>
      </c>
      <c r="D25" s="6" t="n">
        <f aca="false">Sheet2_Cleaned_Data!I24</f>
        <v>88.3</v>
      </c>
      <c r="E25" s="6" t="n">
        <f aca="false">Sheet3_Dummy_Variables!D24</f>
        <v>0</v>
      </c>
      <c r="F25" s="6" t="n">
        <f aca="false">Sheet3_Dummy_Variables!E24</f>
        <v>0</v>
      </c>
      <c r="G25" s="6" t="n">
        <f aca="false">Sheet3_Dummy_Variables!F24</f>
        <v>1</v>
      </c>
    </row>
    <row r="26" customFormat="false" ht="15" hidden="false" customHeight="false" outlineLevel="0" collapsed="false">
      <c r="A26" s="6" t="n">
        <f aca="false">Sheet2_Cleaned_Data!E25</f>
        <v>30356.28</v>
      </c>
      <c r="B26" s="6" t="n">
        <f aca="false">Sheet2_Cleaned_Data!F25</f>
        <v>2822</v>
      </c>
      <c r="C26" s="6" t="n">
        <f aca="false">Sheet2_Cleaned_Data!G25</f>
        <v>0.231</v>
      </c>
      <c r="D26" s="6" t="n">
        <f aca="false">Sheet2_Cleaned_Data!I25</f>
        <v>84.8</v>
      </c>
      <c r="E26" s="6" t="n">
        <f aca="false">Sheet3_Dummy_Variables!D25</f>
        <v>0</v>
      </c>
      <c r="F26" s="6" t="n">
        <f aca="false">Sheet3_Dummy_Variables!E25</f>
        <v>0</v>
      </c>
      <c r="G26" s="6" t="n">
        <f aca="false">Sheet3_Dummy_Variables!F25</f>
        <v>1</v>
      </c>
    </row>
    <row r="27" customFormat="false" ht="15" hidden="false" customHeight="false" outlineLevel="0" collapsed="false">
      <c r="A27" s="6" t="n">
        <f aca="false">Sheet2_Cleaned_Data!E26</f>
        <v>33518.88</v>
      </c>
      <c r="B27" s="6" t="n">
        <f aca="false">Sheet2_Cleaned_Data!F26</f>
        <v>2121</v>
      </c>
      <c r="C27" s="6" t="n">
        <f aca="false">Sheet2_Cleaned_Data!G26</f>
        <v>0.176</v>
      </c>
      <c r="D27" s="6" t="n">
        <f aca="false">Sheet2_Cleaned_Data!I26</f>
        <v>88.5</v>
      </c>
      <c r="E27" s="6" t="n">
        <f aca="false">Sheet3_Dummy_Variables!D26</f>
        <v>0</v>
      </c>
      <c r="F27" s="6" t="n">
        <f aca="false">Sheet3_Dummy_Variables!E26</f>
        <v>0</v>
      </c>
      <c r="G27" s="6" t="n">
        <f aca="false">Sheet3_Dummy_Variables!F26</f>
        <v>1</v>
      </c>
    </row>
    <row r="28" customFormat="false" ht="15" hidden="false" customHeight="false" outlineLevel="0" collapsed="false">
      <c r="A28" s="6" t="n">
        <f aca="false">Sheet2_Cleaned_Data!E27</f>
        <v>42267.37</v>
      </c>
      <c r="B28" s="6" t="n">
        <f aca="false">Sheet2_Cleaned_Data!F27</f>
        <v>3364</v>
      </c>
      <c r="C28" s="6" t="n">
        <f aca="false">Sheet2_Cleaned_Data!G27</f>
        <v>0.16</v>
      </c>
      <c r="D28" s="6" t="n">
        <f aca="false">Sheet2_Cleaned_Data!I27</f>
        <v>82</v>
      </c>
      <c r="E28" s="6" t="n">
        <f aca="false">Sheet3_Dummy_Variables!D27</f>
        <v>0</v>
      </c>
      <c r="F28" s="6" t="n">
        <f aca="false">Sheet3_Dummy_Variables!E27</f>
        <v>0</v>
      </c>
      <c r="G28" s="6" t="n">
        <f aca="false">Sheet3_Dummy_Variables!F27</f>
        <v>1</v>
      </c>
    </row>
    <row r="29" customFormat="false" ht="15" hidden="false" customHeight="false" outlineLevel="0" collapsed="false">
      <c r="A29" s="6" t="n">
        <f aca="false">Sheet2_Cleaned_Data!E28</f>
        <v>62060.43</v>
      </c>
      <c r="B29" s="6" t="n">
        <f aca="false">Sheet2_Cleaned_Data!F28</f>
        <v>2613</v>
      </c>
      <c r="C29" s="6" t="n">
        <f aca="false">Sheet2_Cleaned_Data!G28</f>
        <v>0.216</v>
      </c>
      <c r="D29" s="6" t="n">
        <f aca="false">Sheet2_Cleaned_Data!I28</f>
        <v>92.1</v>
      </c>
      <c r="E29" s="6" t="n">
        <f aca="false">Sheet3_Dummy_Variables!D28</f>
        <v>0</v>
      </c>
      <c r="F29" s="6" t="n">
        <f aca="false">Sheet3_Dummy_Variables!E28</f>
        <v>0</v>
      </c>
      <c r="G29" s="6" t="n">
        <f aca="false">Sheet3_Dummy_Variables!F28</f>
        <v>1</v>
      </c>
    </row>
    <row r="30" customFormat="false" ht="15" hidden="false" customHeight="false" outlineLevel="0" collapsed="false">
      <c r="A30" s="6" t="n">
        <f aca="false">Sheet2_Cleaned_Data!E29</f>
        <v>57696.69</v>
      </c>
      <c r="B30" s="6" t="n">
        <f aca="false">Sheet2_Cleaned_Data!F29</f>
        <v>10218</v>
      </c>
      <c r="C30" s="6" t="n">
        <f aca="false">Sheet2_Cleaned_Data!G29</f>
        <v>0.121</v>
      </c>
      <c r="D30" s="6" t="n">
        <f aca="false">Sheet2_Cleaned_Data!I29</f>
        <v>94.8</v>
      </c>
      <c r="E30" s="6" t="n">
        <f aca="false">Sheet3_Dummy_Variables!D29</f>
        <v>0</v>
      </c>
      <c r="F30" s="6" t="n">
        <f aca="false">Sheet3_Dummy_Variables!E29</f>
        <v>1</v>
      </c>
      <c r="G30" s="6" t="n">
        <f aca="false">Sheet3_Dummy_Variables!F29</f>
        <v>0</v>
      </c>
    </row>
    <row r="31" customFormat="false" ht="15" hidden="false" customHeight="false" outlineLevel="0" collapsed="false">
      <c r="A31" s="6" t="n">
        <f aca="false">Sheet2_Cleaned_Data!E30</f>
        <v>172415.52</v>
      </c>
      <c r="B31" s="6" t="n">
        <f aca="false">Sheet2_Cleaned_Data!F30</f>
        <v>8927</v>
      </c>
      <c r="C31" s="6" t="n">
        <f aca="false">Sheet2_Cleaned_Data!G30</f>
        <v>0.14</v>
      </c>
      <c r="D31" s="6" t="n">
        <f aca="false">Sheet2_Cleaned_Data!I30</f>
        <v>86.2</v>
      </c>
      <c r="E31" s="6" t="n">
        <f aca="false">Sheet3_Dummy_Variables!D30</f>
        <v>0</v>
      </c>
      <c r="F31" s="6" t="n">
        <f aca="false">Sheet3_Dummy_Variables!E30</f>
        <v>1</v>
      </c>
      <c r="G31" s="6" t="n">
        <f aca="false">Sheet3_Dummy_Variables!F30</f>
        <v>0</v>
      </c>
    </row>
    <row r="32" customFormat="false" ht="15" hidden="false" customHeight="false" outlineLevel="0" collapsed="false">
      <c r="A32" s="6" t="n">
        <f aca="false">Sheet2_Cleaned_Data!E31</f>
        <v>55270.52</v>
      </c>
      <c r="B32" s="6" t="n">
        <f aca="false">Sheet2_Cleaned_Data!F31</f>
        <v>9315</v>
      </c>
      <c r="C32" s="6" t="n">
        <f aca="false">Sheet2_Cleaned_Data!G31</f>
        <v>0.169</v>
      </c>
      <c r="D32" s="6" t="n">
        <f aca="false">Sheet2_Cleaned_Data!I31</f>
        <v>91.9</v>
      </c>
      <c r="E32" s="6" t="n">
        <f aca="false">Sheet3_Dummy_Variables!D31</f>
        <v>0</v>
      </c>
      <c r="F32" s="6" t="n">
        <f aca="false">Sheet3_Dummy_Variables!E31</f>
        <v>1</v>
      </c>
      <c r="G32" s="6" t="n">
        <f aca="false">Sheet3_Dummy_Variables!F31</f>
        <v>0</v>
      </c>
    </row>
    <row r="33" customFormat="false" ht="15" hidden="false" customHeight="false" outlineLevel="0" collapsed="false">
      <c r="A33" s="6" t="n">
        <f aca="false">Sheet2_Cleaned_Data!E32</f>
        <v>52715.1</v>
      </c>
      <c r="B33" s="6" t="n">
        <f aca="false">Sheet2_Cleaned_Data!F32</f>
        <v>7223</v>
      </c>
      <c r="C33" s="6" t="n">
        <f aca="false">Sheet2_Cleaned_Data!G32</f>
        <v>0.122</v>
      </c>
      <c r="D33" s="6" t="n">
        <f aca="false">Sheet2_Cleaned_Data!I32</f>
        <v>84.2</v>
      </c>
      <c r="E33" s="6" t="n">
        <f aca="false">Sheet3_Dummy_Variables!D32</f>
        <v>0</v>
      </c>
      <c r="F33" s="6" t="n">
        <f aca="false">Sheet3_Dummy_Variables!E32</f>
        <v>1</v>
      </c>
      <c r="G33" s="6" t="n">
        <f aca="false">Sheet3_Dummy_Variables!F32</f>
        <v>0</v>
      </c>
    </row>
    <row r="34" customFormat="false" ht="15" hidden="false" customHeight="false" outlineLevel="0" collapsed="false">
      <c r="A34" s="6" t="n">
        <f aca="false">Sheet2_Cleaned_Data!E33</f>
        <v>68600.62</v>
      </c>
      <c r="B34" s="6" t="n">
        <f aca="false">Sheet2_Cleaned_Data!F33</f>
        <v>3988</v>
      </c>
      <c r="C34" s="6" t="n">
        <f aca="false">Sheet2_Cleaned_Data!G33</f>
        <v>0.124</v>
      </c>
      <c r="D34" s="6" t="n">
        <f aca="false">Sheet2_Cleaned_Data!I33</f>
        <v>85</v>
      </c>
      <c r="E34" s="6" t="n">
        <f aca="false">Sheet3_Dummy_Variables!D33</f>
        <v>0</v>
      </c>
      <c r="F34" s="6" t="n">
        <f aca="false">Sheet3_Dummy_Variables!E33</f>
        <v>0</v>
      </c>
      <c r="G34" s="6" t="n">
        <f aca="false">Sheet3_Dummy_Variables!F33</f>
        <v>1</v>
      </c>
    </row>
    <row r="35" customFormat="false" ht="15" hidden="false" customHeight="false" outlineLevel="0" collapsed="false">
      <c r="A35" s="6" t="n">
        <f aca="false">Sheet2_Cleaned_Data!E34</f>
        <v>63176.73</v>
      </c>
      <c r="B35" s="6" t="n">
        <f aca="false">Sheet2_Cleaned_Data!F34</f>
        <v>2390</v>
      </c>
      <c r="C35" s="6" t="n">
        <f aca="false">Sheet2_Cleaned_Data!G34</f>
        <v>0.216</v>
      </c>
      <c r="D35" s="6" t="n">
        <f aca="false">Sheet2_Cleaned_Data!I34</f>
        <v>87.5</v>
      </c>
      <c r="E35" s="6" t="n">
        <f aca="false">Sheet3_Dummy_Variables!D34</f>
        <v>0</v>
      </c>
      <c r="F35" s="6" t="n">
        <f aca="false">Sheet3_Dummy_Variables!E34</f>
        <v>0</v>
      </c>
      <c r="G35" s="6" t="n">
        <f aca="false">Sheet3_Dummy_Variables!F34</f>
        <v>1</v>
      </c>
    </row>
    <row r="36" customFormat="false" ht="15" hidden="false" customHeight="false" outlineLevel="0" collapsed="false">
      <c r="A36" s="6" t="n">
        <f aca="false">Sheet2_Cleaned_Data!E35</f>
        <v>44970.08</v>
      </c>
      <c r="B36" s="6" t="n">
        <f aca="false">Sheet2_Cleaned_Data!F35</f>
        <v>2471</v>
      </c>
      <c r="C36" s="6" t="n">
        <f aca="false">Sheet2_Cleaned_Data!G35</f>
        <v>0.136</v>
      </c>
      <c r="D36" s="6" t="n">
        <f aca="false">Sheet2_Cleaned_Data!I35</f>
        <v>87.6</v>
      </c>
      <c r="E36" s="6" t="n">
        <f aca="false">Sheet3_Dummy_Variables!D35</f>
        <v>0</v>
      </c>
      <c r="F36" s="6" t="n">
        <f aca="false">Sheet3_Dummy_Variables!E35</f>
        <v>0</v>
      </c>
      <c r="G36" s="6" t="n">
        <f aca="false">Sheet3_Dummy_Variables!F35</f>
        <v>1</v>
      </c>
    </row>
    <row r="37" customFormat="false" ht="15" hidden="false" customHeight="false" outlineLevel="0" collapsed="false">
      <c r="A37" s="6" t="n">
        <f aca="false">Sheet2_Cleaned_Data!E36</f>
        <v>69816.35</v>
      </c>
      <c r="B37" s="6" t="n">
        <f aca="false">Sheet2_Cleaned_Data!F36</f>
        <v>971</v>
      </c>
      <c r="C37" s="6" t="n">
        <f aca="false">Sheet2_Cleaned_Data!G36</f>
        <v>0.168</v>
      </c>
      <c r="D37" s="6" t="n">
        <f aca="false">Sheet2_Cleaned_Data!I36</f>
        <v>89.9</v>
      </c>
      <c r="E37" s="6" t="n">
        <f aca="false">Sheet3_Dummy_Variables!D36</f>
        <v>0</v>
      </c>
      <c r="F37" s="6" t="n">
        <f aca="false">Sheet3_Dummy_Variables!E36</f>
        <v>0</v>
      </c>
      <c r="G37" s="6" t="n">
        <f aca="false">Sheet3_Dummy_Variables!F36</f>
        <v>1</v>
      </c>
    </row>
    <row r="38" customFormat="false" ht="15" hidden="false" customHeight="false" outlineLevel="0" collapsed="false">
      <c r="A38" s="6" t="n">
        <f aca="false">Sheet2_Cleaned_Data!E37</f>
        <v>54597.83</v>
      </c>
      <c r="B38" s="6" t="n">
        <f aca="false">Sheet2_Cleaned_Data!F37</f>
        <v>9429</v>
      </c>
      <c r="C38" s="6" t="n">
        <f aca="false">Sheet2_Cleaned_Data!G37</f>
        <v>0.188</v>
      </c>
      <c r="D38" s="6" t="n">
        <f aca="false">Sheet2_Cleaned_Data!I37</f>
        <v>83.3</v>
      </c>
      <c r="E38" s="6" t="n">
        <f aca="false">Sheet3_Dummy_Variables!D37</f>
        <v>0</v>
      </c>
      <c r="F38" s="6" t="n">
        <f aca="false">Sheet3_Dummy_Variables!E37</f>
        <v>0</v>
      </c>
      <c r="G38" s="6" t="n">
        <f aca="false">Sheet3_Dummy_Variables!F37</f>
        <v>1</v>
      </c>
    </row>
    <row r="39" customFormat="false" ht="15" hidden="false" customHeight="false" outlineLevel="0" collapsed="false">
      <c r="A39" s="6" t="n">
        <f aca="false">Sheet2_Cleaned_Data!E38</f>
        <v>73771.91</v>
      </c>
      <c r="B39" s="6" t="n">
        <f aca="false">Sheet2_Cleaned_Data!F38</f>
        <v>11695</v>
      </c>
      <c r="C39" s="6" t="n">
        <f aca="false">Sheet2_Cleaned_Data!G38</f>
        <v>0.07</v>
      </c>
      <c r="D39" s="6" t="n">
        <f aca="false">Sheet2_Cleaned_Data!I38</f>
        <v>84.7</v>
      </c>
      <c r="E39" s="6" t="n">
        <f aca="false">Sheet3_Dummy_Variables!D38</f>
        <v>0</v>
      </c>
      <c r="F39" s="6" t="n">
        <f aca="false">Sheet3_Dummy_Variables!E38</f>
        <v>0</v>
      </c>
      <c r="G39" s="6" t="n">
        <f aca="false">Sheet3_Dummy_Variables!F38</f>
        <v>1</v>
      </c>
    </row>
    <row r="40" customFormat="false" ht="15" hidden="false" customHeight="false" outlineLevel="0" collapsed="false">
      <c r="A40" s="6" t="n">
        <f aca="false">Sheet2_Cleaned_Data!E39</f>
        <v>74413.88</v>
      </c>
      <c r="B40" s="6" t="n">
        <f aca="false">Sheet2_Cleaned_Data!F39</f>
        <v>9449</v>
      </c>
      <c r="C40" s="6" t="n">
        <f aca="false">Sheet2_Cleaned_Data!G39</f>
        <v>0.039</v>
      </c>
      <c r="D40" s="6" t="n">
        <f aca="false">Sheet2_Cleaned_Data!I39</f>
        <v>92.1</v>
      </c>
      <c r="E40" s="6" t="n">
        <f aca="false">Sheet3_Dummy_Variables!D39</f>
        <v>0</v>
      </c>
      <c r="F40" s="6" t="n">
        <f aca="false">Sheet3_Dummy_Variables!E39</f>
        <v>0</v>
      </c>
      <c r="G40" s="6" t="n">
        <f aca="false">Sheet3_Dummy_Variables!F39</f>
        <v>1</v>
      </c>
    </row>
    <row r="41" customFormat="false" ht="15" hidden="false" customHeight="false" outlineLevel="0" collapsed="false">
      <c r="A41" s="6" t="n">
        <f aca="false">Sheet2_Cleaned_Data!E40</f>
        <v>52483.77</v>
      </c>
      <c r="B41" s="6" t="n">
        <f aca="false">Sheet2_Cleaned_Data!F40</f>
        <v>10453</v>
      </c>
      <c r="C41" s="6" t="n">
        <f aca="false">Sheet2_Cleaned_Data!G40</f>
        <v>0.247</v>
      </c>
      <c r="D41" s="6" t="n">
        <f aca="false">Sheet2_Cleaned_Data!I40</f>
        <v>99</v>
      </c>
      <c r="E41" s="6" t="n">
        <f aca="false">Sheet3_Dummy_Variables!D40</f>
        <v>0</v>
      </c>
      <c r="F41" s="6" t="n">
        <f aca="false">Sheet3_Dummy_Variables!E40</f>
        <v>0</v>
      </c>
      <c r="G41" s="6" t="n">
        <f aca="false">Sheet3_Dummy_Variables!F40</f>
        <v>1</v>
      </c>
    </row>
    <row r="42" customFormat="false" ht="15" hidden="false" customHeight="false" outlineLevel="0" collapsed="false">
      <c r="A42" s="6" t="n">
        <f aca="false">Sheet2_Cleaned_Data!E41</f>
        <v>75269.87</v>
      </c>
      <c r="B42" s="6" t="n">
        <f aca="false">Sheet2_Cleaned_Data!F41</f>
        <v>8838</v>
      </c>
      <c r="C42" s="6" t="n">
        <f aca="false">Sheet2_Cleaned_Data!G41</f>
        <v>0.092</v>
      </c>
      <c r="D42" s="6" t="n">
        <f aca="false">Sheet2_Cleaned_Data!I41</f>
        <v>83.1</v>
      </c>
      <c r="E42" s="6" t="n">
        <f aca="false">Sheet3_Dummy_Variables!D41</f>
        <v>0</v>
      </c>
      <c r="F42" s="6" t="n">
        <f aca="false">Sheet3_Dummy_Variables!E41</f>
        <v>1</v>
      </c>
      <c r="G42" s="6" t="n">
        <f aca="false">Sheet3_Dummy_Variables!F41</f>
        <v>0</v>
      </c>
    </row>
    <row r="43" customFormat="false" ht="15" hidden="false" customHeight="false" outlineLevel="0" collapsed="false">
      <c r="A43" s="6" t="n">
        <f aca="false">Sheet2_Cleaned_Data!E42</f>
        <v>61245.41</v>
      </c>
      <c r="B43" s="6" t="n">
        <f aca="false">Sheet2_Cleaned_Data!F42</f>
        <v>8156</v>
      </c>
      <c r="C43" s="6" t="n">
        <f aca="false">Sheet2_Cleaned_Data!G42</f>
        <v>0.156</v>
      </c>
      <c r="D43" s="6" t="n">
        <f aca="false">Sheet2_Cleaned_Data!I42</f>
        <v>92.9</v>
      </c>
      <c r="E43" s="6" t="n">
        <f aca="false">Sheet3_Dummy_Variables!D42</f>
        <v>0</v>
      </c>
      <c r="F43" s="6" t="n">
        <f aca="false">Sheet3_Dummy_Variables!E42</f>
        <v>1</v>
      </c>
      <c r="G43" s="6" t="n">
        <f aca="false">Sheet3_Dummy_Variables!F42</f>
        <v>0</v>
      </c>
    </row>
    <row r="44" customFormat="false" ht="15" hidden="false" customHeight="false" outlineLevel="0" collapsed="false">
      <c r="A44" s="6" t="n">
        <f aca="false">Sheet2_Cleaned_Data!E43</f>
        <v>93381.26</v>
      </c>
      <c r="B44" s="6" t="n">
        <f aca="false">Sheet2_Cleaned_Data!F43</f>
        <v>7562</v>
      </c>
      <c r="C44" s="6" t="n">
        <f aca="false">Sheet2_Cleaned_Data!G43</f>
        <v>0.198</v>
      </c>
      <c r="D44" s="6" t="n">
        <f aca="false">Sheet2_Cleaned_Data!I43</f>
        <v>82.9</v>
      </c>
      <c r="E44" s="6" t="n">
        <f aca="false">Sheet3_Dummy_Variables!D43</f>
        <v>0</v>
      </c>
      <c r="F44" s="6" t="n">
        <f aca="false">Sheet3_Dummy_Variables!E43</f>
        <v>1</v>
      </c>
      <c r="G44" s="6" t="n">
        <f aca="false">Sheet3_Dummy_Variables!F43</f>
        <v>0</v>
      </c>
    </row>
    <row r="45" customFormat="false" ht="15" hidden="false" customHeight="false" outlineLevel="0" collapsed="false">
      <c r="A45" s="6" t="n">
        <f aca="false">Sheet2_Cleaned_Data!E44</f>
        <v>65012.19</v>
      </c>
      <c r="B45" s="6" t="n">
        <f aca="false">Sheet2_Cleaned_Data!F44</f>
        <v>9598</v>
      </c>
      <c r="C45" s="6" t="n">
        <f aca="false">Sheet2_Cleaned_Data!G44</f>
        <v>0.085</v>
      </c>
      <c r="D45" s="6" t="n">
        <f aca="false">Sheet2_Cleaned_Data!I44</f>
        <v>98.3</v>
      </c>
      <c r="E45" s="6" t="n">
        <f aca="false">Sheet3_Dummy_Variables!D44</f>
        <v>0</v>
      </c>
      <c r="F45" s="6" t="n">
        <f aca="false">Sheet3_Dummy_Variables!E44</f>
        <v>1</v>
      </c>
      <c r="G45" s="6" t="n">
        <f aca="false">Sheet3_Dummy_Variables!F44</f>
        <v>0</v>
      </c>
    </row>
    <row r="46" customFormat="false" ht="15" hidden="false" customHeight="false" outlineLevel="0" collapsed="false">
      <c r="A46" s="6" t="n">
        <f aca="false">Sheet2_Cleaned_Data!E45</f>
        <v>40462.94</v>
      </c>
      <c r="B46" s="6" t="n">
        <f aca="false">Sheet2_Cleaned_Data!F45</f>
        <v>3660</v>
      </c>
      <c r="C46" s="6" t="n">
        <f aca="false">Sheet2_Cleaned_Data!G45</f>
        <v>0.218</v>
      </c>
      <c r="D46" s="6" t="n">
        <f aca="false">Sheet2_Cleaned_Data!I45</f>
        <v>95.2</v>
      </c>
      <c r="E46" s="6" t="n">
        <f aca="false">Sheet3_Dummy_Variables!D45</f>
        <v>0</v>
      </c>
      <c r="F46" s="6" t="n">
        <f aca="false">Sheet3_Dummy_Variables!E45</f>
        <v>1</v>
      </c>
      <c r="G46" s="6" t="n">
        <f aca="false">Sheet3_Dummy_Variables!F45</f>
        <v>0</v>
      </c>
    </row>
    <row r="47" customFormat="false" ht="15" hidden="false" customHeight="false" outlineLevel="0" collapsed="false">
      <c r="A47" s="6" t="n">
        <f aca="false">Sheet2_Cleaned_Data!E46</f>
        <v>46123.88</v>
      </c>
      <c r="B47" s="6" t="n">
        <f aca="false">Sheet2_Cleaned_Data!F46</f>
        <v>3227</v>
      </c>
      <c r="C47" s="6" t="n">
        <f aca="false">Sheet2_Cleaned_Data!G46</f>
        <v>0.143</v>
      </c>
      <c r="D47" s="6" t="n">
        <f aca="false">Sheet2_Cleaned_Data!I46</f>
        <v>75.4</v>
      </c>
      <c r="E47" s="6" t="n">
        <f aca="false">Sheet3_Dummy_Variables!D46</f>
        <v>0</v>
      </c>
      <c r="F47" s="6" t="n">
        <f aca="false">Sheet3_Dummy_Variables!E46</f>
        <v>1</v>
      </c>
      <c r="G47" s="6" t="n">
        <f aca="false">Sheet3_Dummy_Variables!F46</f>
        <v>0</v>
      </c>
    </row>
    <row r="48" customFormat="false" ht="15" hidden="false" customHeight="false" outlineLevel="0" collapsed="false">
      <c r="A48" s="6" t="n">
        <f aca="false">Sheet2_Cleaned_Data!E47</f>
        <v>68077.54</v>
      </c>
      <c r="B48" s="6" t="n">
        <f aca="false">Sheet2_Cleaned_Data!F47</f>
        <v>3360</v>
      </c>
      <c r="C48" s="6" t="n">
        <f aca="false">Sheet2_Cleaned_Data!G47</f>
        <v>0.128</v>
      </c>
      <c r="D48" s="6" t="n">
        <f aca="false">Sheet2_Cleaned_Data!I47</f>
        <v>88.2</v>
      </c>
      <c r="E48" s="6" t="n">
        <f aca="false">Sheet3_Dummy_Variables!D47</f>
        <v>0</v>
      </c>
      <c r="F48" s="6" t="n">
        <f aca="false">Sheet3_Dummy_Variables!E47</f>
        <v>1</v>
      </c>
      <c r="G48" s="6" t="n">
        <f aca="false">Sheet3_Dummy_Variables!F47</f>
        <v>0</v>
      </c>
    </row>
    <row r="49" customFormat="false" ht="15" hidden="false" customHeight="false" outlineLevel="0" collapsed="false">
      <c r="A49" s="6" t="n">
        <f aca="false">Sheet2_Cleaned_Data!E48</f>
        <v>64882.14</v>
      </c>
      <c r="B49" s="6" t="n">
        <f aca="false">Sheet2_Cleaned_Data!F48</f>
        <v>3642</v>
      </c>
      <c r="C49" s="6" t="n">
        <f aca="false">Sheet2_Cleaned_Data!G48</f>
        <v>0.019</v>
      </c>
      <c r="D49" s="6" t="n">
        <f aca="false">Sheet2_Cleaned_Data!I48</f>
        <v>87.8</v>
      </c>
      <c r="E49" s="6" t="n">
        <f aca="false">Sheet3_Dummy_Variables!D48</f>
        <v>0</v>
      </c>
      <c r="F49" s="6" t="n">
        <f aca="false">Sheet3_Dummy_Variables!E48</f>
        <v>1</v>
      </c>
      <c r="G49" s="6" t="n">
        <f aca="false">Sheet3_Dummy_Variables!F48</f>
        <v>0</v>
      </c>
    </row>
    <row r="50" customFormat="false" ht="15" hidden="false" customHeight="false" outlineLevel="0" collapsed="false">
      <c r="A50" s="6" t="n">
        <f aca="false">Sheet2_Cleaned_Data!E49</f>
        <v>138855.51</v>
      </c>
      <c r="B50" s="6" t="n">
        <f aca="false">Sheet2_Cleaned_Data!F49</f>
        <v>5145</v>
      </c>
      <c r="C50" s="6" t="n">
        <f aca="false">Sheet2_Cleaned_Data!G49</f>
        <v>0.06</v>
      </c>
      <c r="D50" s="6" t="n">
        <f aca="false">Sheet2_Cleaned_Data!I49</f>
        <v>88.2</v>
      </c>
      <c r="E50" s="6" t="n">
        <f aca="false">Sheet3_Dummy_Variables!D49</f>
        <v>0</v>
      </c>
      <c r="F50" s="6" t="n">
        <f aca="false">Sheet3_Dummy_Variables!E49</f>
        <v>0</v>
      </c>
      <c r="G50" s="6" t="n">
        <f aca="false">Sheet3_Dummy_Variables!F49</f>
        <v>1</v>
      </c>
    </row>
    <row r="51" customFormat="false" ht="15" hidden="false" customHeight="false" outlineLevel="0" collapsed="false">
      <c r="A51" s="6" t="n">
        <f aca="false">Sheet2_Cleaned_Data!E50</f>
        <v>63630.21</v>
      </c>
      <c r="B51" s="6" t="n">
        <f aca="false">Sheet2_Cleaned_Data!F50</f>
        <v>4460</v>
      </c>
      <c r="C51" s="6" t="n">
        <f aca="false">Sheet2_Cleaned_Data!G50</f>
        <v>0.235</v>
      </c>
      <c r="D51" s="6" t="n">
        <f aca="false">Sheet2_Cleaned_Data!I50</f>
        <v>98.6</v>
      </c>
      <c r="E51" s="6" t="n">
        <f aca="false">Sheet3_Dummy_Variables!D50</f>
        <v>0</v>
      </c>
      <c r="F51" s="6" t="n">
        <f aca="false">Sheet3_Dummy_Variables!E50</f>
        <v>0</v>
      </c>
      <c r="G51" s="6" t="n">
        <f aca="false">Sheet3_Dummy_Variables!F50</f>
        <v>1</v>
      </c>
    </row>
    <row r="52" customFormat="false" ht="15" hidden="false" customHeight="false" outlineLevel="0" collapsed="false">
      <c r="A52" s="6" t="n">
        <f aca="false">Sheet2_Cleaned_Data!E51</f>
        <v>50043.65</v>
      </c>
      <c r="B52" s="6" t="n">
        <f aca="false">Sheet2_Cleaned_Data!F51</f>
        <v>3804</v>
      </c>
      <c r="C52" s="6" t="n">
        <f aca="false">Sheet2_Cleaned_Data!G51</f>
        <v>0.113</v>
      </c>
      <c r="D52" s="6" t="n">
        <f aca="false">Sheet2_Cleaned_Data!I51</f>
        <v>90.9</v>
      </c>
      <c r="E52" s="6" t="n">
        <f aca="false">Sheet3_Dummy_Variables!D51</f>
        <v>0</v>
      </c>
      <c r="F52" s="6" t="n">
        <f aca="false">Sheet3_Dummy_Variables!E51</f>
        <v>0</v>
      </c>
      <c r="G52" s="6" t="n">
        <f aca="false">Sheet3_Dummy_Variables!F51</f>
        <v>1</v>
      </c>
    </row>
    <row r="53" customFormat="false" ht="15" hidden="false" customHeight="false" outlineLevel="0" collapsed="false">
      <c r="A53" s="6" t="n">
        <f aca="false">Sheet2_Cleaned_Data!E52</f>
        <v>42093.84</v>
      </c>
      <c r="B53" s="6" t="n">
        <f aca="false">Sheet2_Cleaned_Data!F52</f>
        <v>4074</v>
      </c>
      <c r="C53" s="6" t="n">
        <f aca="false">Sheet2_Cleaned_Data!G52</f>
        <v>0.155</v>
      </c>
      <c r="D53" s="6" t="n">
        <f aca="false">Sheet2_Cleaned_Data!I52</f>
        <v>88</v>
      </c>
      <c r="E53" s="6" t="n">
        <f aca="false">Sheet3_Dummy_Variables!D52</f>
        <v>0</v>
      </c>
      <c r="F53" s="6" t="n">
        <f aca="false">Sheet3_Dummy_Variables!E52</f>
        <v>0</v>
      </c>
      <c r="G53" s="6" t="n">
        <f aca="false">Sheet3_Dummy_Variables!F52</f>
        <v>1</v>
      </c>
    </row>
    <row r="54" customFormat="false" ht="15" hidden="false" customHeight="false" outlineLevel="0" collapsed="false">
      <c r="A54" s="6" t="n">
        <f aca="false">Sheet2_Cleaned_Data!E53</f>
        <v>46624.05</v>
      </c>
      <c r="B54" s="6" t="n">
        <f aca="false">Sheet2_Cleaned_Data!F53</f>
        <v>5104</v>
      </c>
      <c r="C54" s="6" t="n">
        <f aca="false">Sheet2_Cleaned_Data!G53</f>
        <v>0.109</v>
      </c>
      <c r="D54" s="6" t="n">
        <f aca="false">Sheet2_Cleaned_Data!I53</f>
        <v>97.3</v>
      </c>
      <c r="E54" s="6" t="n">
        <f aca="false">Sheet3_Dummy_Variables!D53</f>
        <v>0</v>
      </c>
      <c r="F54" s="6" t="n">
        <f aca="false">Sheet3_Dummy_Variables!E53</f>
        <v>1</v>
      </c>
      <c r="G54" s="6" t="n">
        <f aca="false">Sheet3_Dummy_Variables!F53</f>
        <v>0</v>
      </c>
    </row>
    <row r="55" customFormat="false" ht="15" hidden="false" customHeight="false" outlineLevel="0" collapsed="false">
      <c r="A55" s="6" t="n">
        <f aca="false">Sheet2_Cleaned_Data!E54</f>
        <v>49710.29</v>
      </c>
      <c r="B55" s="6" t="n">
        <f aca="false">Sheet2_Cleaned_Data!F54</f>
        <v>5559</v>
      </c>
      <c r="C55" s="6" t="n">
        <f aca="false">Sheet2_Cleaned_Data!G54</f>
        <v>0.218</v>
      </c>
      <c r="D55" s="6" t="n">
        <f aca="false">Sheet2_Cleaned_Data!I54</f>
        <v>71</v>
      </c>
      <c r="E55" s="6" t="n">
        <f aca="false">Sheet3_Dummy_Variables!D54</f>
        <v>0</v>
      </c>
      <c r="F55" s="6" t="n">
        <f aca="false">Sheet3_Dummy_Variables!E54</f>
        <v>1</v>
      </c>
      <c r="G55" s="6" t="n">
        <f aca="false">Sheet3_Dummy_Variables!F54</f>
        <v>0</v>
      </c>
    </row>
    <row r="56" customFormat="false" ht="15" hidden="false" customHeight="false" outlineLevel="0" collapsed="false">
      <c r="A56" s="6" t="n">
        <f aca="false">Sheet2_Cleaned_Data!E55</f>
        <v>48287.85</v>
      </c>
      <c r="B56" s="6" t="n">
        <f aca="false">Sheet2_Cleaned_Data!F55</f>
        <v>5150</v>
      </c>
      <c r="C56" s="6" t="n">
        <f aca="false">Sheet2_Cleaned_Data!G55</f>
        <v>0.008</v>
      </c>
      <c r="D56" s="6" t="n">
        <f aca="false">Sheet2_Cleaned_Data!I55</f>
        <v>80.4</v>
      </c>
      <c r="E56" s="6" t="n">
        <f aca="false">Sheet3_Dummy_Variables!D55</f>
        <v>0</v>
      </c>
      <c r="F56" s="6" t="n">
        <f aca="false">Sheet3_Dummy_Variables!E55</f>
        <v>1</v>
      </c>
      <c r="G56" s="6" t="n">
        <f aca="false">Sheet3_Dummy_Variables!F55</f>
        <v>0</v>
      </c>
    </row>
    <row r="57" customFormat="false" ht="15" hidden="false" customHeight="false" outlineLevel="0" collapsed="false">
      <c r="A57" s="6" t="n">
        <f aca="false">Sheet2_Cleaned_Data!E56</f>
        <v>65312.49</v>
      </c>
      <c r="B57" s="6" t="n">
        <f aca="false">Sheet2_Cleaned_Data!F56</f>
        <v>7189</v>
      </c>
      <c r="C57" s="6" t="n">
        <f aca="false">Sheet2_Cleaned_Data!G56</f>
        <v>0.05</v>
      </c>
      <c r="D57" s="6" t="n">
        <f aca="false">Sheet2_Cleaned_Data!I56</f>
        <v>93.7</v>
      </c>
      <c r="E57" s="6" t="n">
        <f aca="false">Sheet3_Dummy_Variables!D56</f>
        <v>0</v>
      </c>
      <c r="F57" s="6" t="n">
        <f aca="false">Sheet3_Dummy_Variables!E56</f>
        <v>1</v>
      </c>
      <c r="G57" s="6" t="n">
        <f aca="false">Sheet3_Dummy_Variables!F56</f>
        <v>0</v>
      </c>
    </row>
    <row r="58" customFormat="false" ht="15" hidden="false" customHeight="false" outlineLevel="0" collapsed="false">
      <c r="A58" s="6" t="n">
        <f aca="false">Sheet2_Cleaned_Data!E57</f>
        <v>53015.46</v>
      </c>
      <c r="B58" s="6" t="n">
        <f aca="false">Sheet2_Cleaned_Data!F57</f>
        <v>3279</v>
      </c>
      <c r="C58" s="6" t="n">
        <f aca="false">Sheet2_Cleaned_Data!G57</f>
        <v>0.087</v>
      </c>
      <c r="D58" s="6" t="n">
        <f aca="false">Sheet2_Cleaned_Data!I57</f>
        <v>84.3</v>
      </c>
      <c r="E58" s="6" t="n">
        <f aca="false">Sheet3_Dummy_Variables!D57</f>
        <v>0</v>
      </c>
      <c r="F58" s="6" t="n">
        <f aca="false">Sheet3_Dummy_Variables!E57</f>
        <v>0</v>
      </c>
      <c r="G58" s="6" t="n">
        <f aca="false">Sheet3_Dummy_Variables!F57</f>
        <v>0</v>
      </c>
    </row>
    <row r="59" customFormat="false" ht="15" hidden="false" customHeight="false" outlineLevel="0" collapsed="false">
      <c r="A59" s="6" t="n">
        <f aca="false">Sheet2_Cleaned_Data!E58</f>
        <v>99874.01</v>
      </c>
      <c r="B59" s="6" t="n">
        <f aca="false">Sheet2_Cleaned_Data!F58</f>
        <v>5887</v>
      </c>
      <c r="C59" s="6" t="n">
        <f aca="false">Sheet2_Cleaned_Data!G58</f>
        <v>0.262</v>
      </c>
      <c r="D59" s="6" t="n">
        <f aca="false">Sheet2_Cleaned_Data!I58</f>
        <v>88.7</v>
      </c>
      <c r="E59" s="6" t="n">
        <f aca="false">Sheet3_Dummy_Variables!D58</f>
        <v>0</v>
      </c>
      <c r="F59" s="6" t="n">
        <f aca="false">Sheet3_Dummy_Variables!E58</f>
        <v>0</v>
      </c>
      <c r="G59" s="6" t="n">
        <f aca="false">Sheet3_Dummy_Variables!F58</f>
        <v>0</v>
      </c>
    </row>
    <row r="60" customFormat="false" ht="15" hidden="false" customHeight="false" outlineLevel="0" collapsed="false">
      <c r="A60" s="6" t="n">
        <f aca="false">Sheet2_Cleaned_Data!E59</f>
        <v>81195.5</v>
      </c>
      <c r="B60" s="6" t="n">
        <f aca="false">Sheet2_Cleaned_Data!F59</f>
        <v>5516</v>
      </c>
      <c r="C60" s="6" t="n">
        <f aca="false">Sheet2_Cleaned_Data!G59</f>
        <v>0.106</v>
      </c>
      <c r="D60" s="6" t="n">
        <f aca="false">Sheet2_Cleaned_Data!I59</f>
        <v>88</v>
      </c>
      <c r="E60" s="6" t="n">
        <f aca="false">Sheet3_Dummy_Variables!D59</f>
        <v>0</v>
      </c>
      <c r="F60" s="6" t="n">
        <f aca="false">Sheet3_Dummy_Variables!E59</f>
        <v>0</v>
      </c>
      <c r="G60" s="6" t="n">
        <f aca="false">Sheet3_Dummy_Variables!F59</f>
        <v>0</v>
      </c>
    </row>
    <row r="61" customFormat="false" ht="15" hidden="false" customHeight="false" outlineLevel="0" collapsed="false">
      <c r="A61" s="6" t="n">
        <f aca="false">Sheet2_Cleaned_Data!E60</f>
        <v>27808.6</v>
      </c>
      <c r="B61" s="6" t="n">
        <f aca="false">Sheet2_Cleaned_Data!F60</f>
        <v>2863</v>
      </c>
      <c r="C61" s="6" t="n">
        <f aca="false">Sheet2_Cleaned_Data!G60</f>
        <v>0.08</v>
      </c>
      <c r="D61" s="6" t="n">
        <f aca="false">Sheet2_Cleaned_Data!I60</f>
        <v>89.3</v>
      </c>
      <c r="E61" s="6" t="n">
        <f aca="false">Sheet3_Dummy_Variables!D60</f>
        <v>0</v>
      </c>
      <c r="F61" s="6" t="n">
        <f aca="false">Sheet3_Dummy_Variables!E60</f>
        <v>0</v>
      </c>
      <c r="G61" s="6" t="n">
        <f aca="false">Sheet3_Dummy_Variables!F60</f>
        <v>0</v>
      </c>
    </row>
    <row r="62" customFormat="false" ht="15" hidden="false" customHeight="false" outlineLevel="0" collapsed="false">
      <c r="A62" s="6" t="n">
        <f aca="false">Sheet2_Cleaned_Data!E61</f>
        <v>19365.06</v>
      </c>
      <c r="B62" s="6" t="n">
        <f aca="false">Sheet2_Cleaned_Data!F61</f>
        <v>2378</v>
      </c>
      <c r="C62" s="6" t="n">
        <f aca="false">Sheet2_Cleaned_Data!G61</f>
        <v>0</v>
      </c>
      <c r="D62" s="6" t="n">
        <f aca="false">Sheet2_Cleaned_Data!I61</f>
        <v>94.8</v>
      </c>
      <c r="E62" s="6" t="n">
        <f aca="false">Sheet3_Dummy_Variables!D61</f>
        <v>1</v>
      </c>
      <c r="F62" s="6" t="n">
        <f aca="false">Sheet3_Dummy_Variables!E61</f>
        <v>0</v>
      </c>
      <c r="G62" s="6" t="n">
        <f aca="false">Sheet3_Dummy_Variables!F61</f>
        <v>0</v>
      </c>
    </row>
    <row r="63" customFormat="false" ht="15" hidden="false" customHeight="false" outlineLevel="0" collapsed="false">
      <c r="A63" s="6" t="n">
        <f aca="false">Sheet2_Cleaned_Data!E62</f>
        <v>59405.68</v>
      </c>
      <c r="B63" s="6" t="n">
        <f aca="false">Sheet2_Cleaned_Data!F62</f>
        <v>2515</v>
      </c>
      <c r="C63" s="6" t="n">
        <f aca="false">Sheet2_Cleaned_Data!G62</f>
        <v>0.039</v>
      </c>
      <c r="D63" s="6" t="n">
        <f aca="false">Sheet2_Cleaned_Data!I62</f>
        <v>76</v>
      </c>
      <c r="E63" s="6" t="n">
        <f aca="false">Sheet3_Dummy_Variables!D62</f>
        <v>1</v>
      </c>
      <c r="F63" s="6" t="n">
        <f aca="false">Sheet3_Dummy_Variables!E62</f>
        <v>0</v>
      </c>
      <c r="G63" s="6" t="n">
        <f aca="false">Sheet3_Dummy_Variables!F62</f>
        <v>0</v>
      </c>
    </row>
    <row r="64" customFormat="false" ht="15" hidden="false" customHeight="false" outlineLevel="0" collapsed="false">
      <c r="A64" s="6" t="n">
        <f aca="false">Sheet2_Cleaned_Data!E63</f>
        <v>118910.48</v>
      </c>
      <c r="B64" s="6" t="n">
        <f aca="false">Sheet2_Cleaned_Data!F63</f>
        <v>4022</v>
      </c>
      <c r="C64" s="6" t="n">
        <f aca="false">Sheet2_Cleaned_Data!G63</f>
        <v>0.137</v>
      </c>
      <c r="D64" s="6" t="n">
        <f aca="false">Sheet2_Cleaned_Data!I63</f>
        <v>87.1</v>
      </c>
      <c r="E64" s="6" t="n">
        <f aca="false">Sheet3_Dummy_Variables!D63</f>
        <v>1</v>
      </c>
      <c r="F64" s="6" t="n">
        <f aca="false">Sheet3_Dummy_Variables!E63</f>
        <v>0</v>
      </c>
      <c r="G64" s="6" t="n">
        <f aca="false">Sheet3_Dummy_Variables!F63</f>
        <v>0</v>
      </c>
    </row>
    <row r="65" customFormat="false" ht="15" hidden="false" customHeight="false" outlineLevel="0" collapsed="false">
      <c r="A65" s="6" t="n">
        <f aca="false">Sheet2_Cleaned_Data!E64</f>
        <v>52952.12</v>
      </c>
      <c r="B65" s="6" t="n">
        <f aca="false">Sheet2_Cleaned_Data!F64</f>
        <v>4377</v>
      </c>
      <c r="C65" s="6" t="n">
        <f aca="false">Sheet2_Cleaned_Data!G64</f>
        <v>0.092</v>
      </c>
      <c r="D65" s="6" t="n">
        <f aca="false">Sheet2_Cleaned_Data!I64</f>
        <v>88.6</v>
      </c>
      <c r="E65" s="6" t="n">
        <f aca="false">Sheet3_Dummy_Variables!D64</f>
        <v>1</v>
      </c>
      <c r="F65" s="6" t="n">
        <f aca="false">Sheet3_Dummy_Variables!E64</f>
        <v>0</v>
      </c>
      <c r="G65" s="6" t="n">
        <f aca="false">Sheet3_Dummy_Variables!F64</f>
        <v>0</v>
      </c>
    </row>
    <row r="66" customFormat="false" ht="15" hidden="false" customHeight="false" outlineLevel="0" collapsed="false">
      <c r="A66" s="6" t="n">
        <f aca="false">Sheet2_Cleaned_Data!E65</f>
        <v>74907.98</v>
      </c>
      <c r="B66" s="6" t="n">
        <f aca="false">Sheet2_Cleaned_Data!F65</f>
        <v>5306</v>
      </c>
      <c r="C66" s="6" t="n">
        <f aca="false">Sheet2_Cleaned_Data!G65</f>
        <v>0.062</v>
      </c>
      <c r="D66" s="6" t="n">
        <f aca="false">Sheet2_Cleaned_Data!I65</f>
        <v>95.6</v>
      </c>
      <c r="E66" s="6" t="n">
        <f aca="false">Sheet3_Dummy_Variables!D65</f>
        <v>0</v>
      </c>
      <c r="F66" s="6" t="n">
        <f aca="false">Sheet3_Dummy_Variables!E65</f>
        <v>0</v>
      </c>
      <c r="G66" s="6" t="n">
        <f aca="false">Sheet3_Dummy_Variables!F65</f>
        <v>0</v>
      </c>
    </row>
    <row r="67" customFormat="false" ht="15" hidden="false" customHeight="false" outlineLevel="0" collapsed="false">
      <c r="A67" s="6" t="n">
        <f aca="false">Sheet2_Cleaned_Data!E66</f>
        <v>37284.66</v>
      </c>
      <c r="B67" s="6" t="n">
        <f aca="false">Sheet2_Cleaned_Data!F66</f>
        <v>3928</v>
      </c>
      <c r="C67" s="6" t="n">
        <f aca="false">Sheet2_Cleaned_Data!G66</f>
        <v>0.074</v>
      </c>
      <c r="D67" s="6" t="n">
        <f aca="false">Sheet2_Cleaned_Data!I66</f>
        <v>86.5</v>
      </c>
      <c r="E67" s="6" t="n">
        <f aca="false">Sheet3_Dummy_Variables!D66</f>
        <v>0</v>
      </c>
      <c r="F67" s="6" t="n">
        <f aca="false">Sheet3_Dummy_Variables!E66</f>
        <v>0</v>
      </c>
      <c r="G67" s="6" t="n">
        <f aca="false">Sheet3_Dummy_Variables!F66</f>
        <v>0</v>
      </c>
    </row>
    <row r="68" customFormat="false" ht="15" hidden="false" customHeight="false" outlineLevel="0" collapsed="false">
      <c r="A68" s="6" t="n">
        <f aca="false">Sheet2_Cleaned_Data!E67</f>
        <v>50343.19</v>
      </c>
      <c r="B68" s="6" t="n">
        <f aca="false">Sheet2_Cleaned_Data!F67</f>
        <v>3845</v>
      </c>
      <c r="C68" s="6" t="n">
        <f aca="false">Sheet2_Cleaned_Data!G67</f>
        <v>0.113</v>
      </c>
      <c r="D68" s="6" t="n">
        <f aca="false">Sheet2_Cleaned_Data!I67</f>
        <v>88.7</v>
      </c>
      <c r="E68" s="6" t="n">
        <f aca="false">Sheet3_Dummy_Variables!D67</f>
        <v>0</v>
      </c>
      <c r="F68" s="6" t="n">
        <f aca="false">Sheet3_Dummy_Variables!E67</f>
        <v>0</v>
      </c>
      <c r="G68" s="6" t="n">
        <f aca="false">Sheet3_Dummy_Variables!F67</f>
        <v>0</v>
      </c>
    </row>
    <row r="69" customFormat="false" ht="15" hidden="false" customHeight="false" outlineLevel="0" collapsed="false">
      <c r="A69" s="6" t="n">
        <f aca="false">Sheet2_Cleaned_Data!E68</f>
        <v>74954.47</v>
      </c>
      <c r="B69" s="6" t="n">
        <f aca="false">Sheet2_Cleaned_Data!F68</f>
        <v>6620</v>
      </c>
      <c r="C69" s="6" t="n">
        <f aca="false">Sheet2_Cleaned_Data!G68</f>
        <v>0.054</v>
      </c>
      <c r="D69" s="6" t="n">
        <f aca="false">Sheet2_Cleaned_Data!I68</f>
        <v>91.1</v>
      </c>
      <c r="E69" s="6" t="n">
        <f aca="false">Sheet3_Dummy_Variables!D68</f>
        <v>0</v>
      </c>
      <c r="F69" s="6" t="n">
        <f aca="false">Sheet3_Dummy_Variables!E68</f>
        <v>0</v>
      </c>
      <c r="G69" s="6" t="n">
        <f aca="false">Sheet3_Dummy_Variables!F68</f>
        <v>0</v>
      </c>
    </row>
    <row r="70" customFormat="false" ht="15" hidden="false" customHeight="false" outlineLevel="0" collapsed="false">
      <c r="A70" s="6" t="n">
        <f aca="false">Sheet2_Cleaned_Data!E69</f>
        <v>70040.31</v>
      </c>
      <c r="B70" s="6" t="n">
        <f aca="false">Sheet2_Cleaned_Data!F69</f>
        <v>9175</v>
      </c>
      <c r="C70" s="6" t="n">
        <f aca="false">Sheet2_Cleaned_Data!G69</f>
        <v>0.107</v>
      </c>
      <c r="D70" s="6" t="n">
        <f aca="false">Sheet2_Cleaned_Data!I69</f>
        <v>95.1</v>
      </c>
      <c r="E70" s="6" t="n">
        <f aca="false">Sheet3_Dummy_Variables!D69</f>
        <v>0</v>
      </c>
      <c r="F70" s="6" t="n">
        <f aca="false">Sheet3_Dummy_Variables!E69</f>
        <v>0</v>
      </c>
      <c r="G70" s="6" t="n">
        <f aca="false">Sheet3_Dummy_Variables!F69</f>
        <v>0</v>
      </c>
    </row>
    <row r="71" customFormat="false" ht="15" hidden="false" customHeight="false" outlineLevel="0" collapsed="false">
      <c r="A71" s="6" t="n">
        <f aca="false">Sheet2_Cleaned_Data!E70</f>
        <v>51148.69</v>
      </c>
      <c r="B71" s="6" t="n">
        <f aca="false">Sheet2_Cleaned_Data!F70</f>
        <v>7940</v>
      </c>
      <c r="C71" s="6" t="n">
        <f aca="false">Sheet2_Cleaned_Data!G70</f>
        <v>0.156</v>
      </c>
      <c r="D71" s="6" t="n">
        <f aca="false">Sheet2_Cleaned_Data!I70</f>
        <v>93.3</v>
      </c>
      <c r="E71" s="6" t="n">
        <f aca="false">Sheet3_Dummy_Variables!D70</f>
        <v>0</v>
      </c>
      <c r="F71" s="6" t="n">
        <f aca="false">Sheet3_Dummy_Variables!E70</f>
        <v>0</v>
      </c>
      <c r="G71" s="6" t="n">
        <f aca="false">Sheet3_Dummy_Variables!F70</f>
        <v>0</v>
      </c>
    </row>
    <row r="72" customFormat="false" ht="15" hidden="false" customHeight="false" outlineLevel="0" collapsed="false">
      <c r="A72" s="6" t="n">
        <f aca="false">Sheet2_Cleaned_Data!E71</f>
        <v>79346.1</v>
      </c>
      <c r="B72" s="6" t="n">
        <f aca="false">Sheet2_Cleaned_Data!F71</f>
        <v>9628</v>
      </c>
      <c r="C72" s="6" t="n">
        <f aca="false">Sheet2_Cleaned_Data!G71</f>
        <v>0.102</v>
      </c>
      <c r="D72" s="6" t="n">
        <f aca="false">Sheet2_Cleaned_Data!I71</f>
        <v>99</v>
      </c>
      <c r="E72" s="6" t="n">
        <f aca="false">Sheet3_Dummy_Variables!D71</f>
        <v>0</v>
      </c>
      <c r="F72" s="6" t="n">
        <f aca="false">Sheet3_Dummy_Variables!E71</f>
        <v>0</v>
      </c>
      <c r="G72" s="6" t="n">
        <f aca="false">Sheet3_Dummy_Variables!F71</f>
        <v>0</v>
      </c>
    </row>
    <row r="73" customFormat="false" ht="15" hidden="false" customHeight="false" outlineLevel="0" collapsed="false">
      <c r="A73" s="6" t="n">
        <f aca="false">Sheet2_Cleaned_Data!E72</f>
        <v>42018.4</v>
      </c>
      <c r="B73" s="6" t="n">
        <f aca="false">Sheet2_Cleaned_Data!F72</f>
        <v>8296</v>
      </c>
      <c r="C73" s="6" t="n">
        <f aca="false">Sheet2_Cleaned_Data!G72</f>
        <v>0.115</v>
      </c>
      <c r="D73" s="6" t="n">
        <f aca="false">Sheet2_Cleaned_Data!I72</f>
        <v>91.8</v>
      </c>
      <c r="E73" s="6" t="n">
        <f aca="false">Sheet3_Dummy_Variables!D72</f>
        <v>0</v>
      </c>
      <c r="F73" s="6" t="n">
        <f aca="false">Sheet3_Dummy_Variables!E72</f>
        <v>0</v>
      </c>
      <c r="G73" s="6" t="n">
        <f aca="false">Sheet3_Dummy_Variables!F72</f>
        <v>0</v>
      </c>
    </row>
    <row r="74" customFormat="false" ht="15" hidden="false" customHeight="false" outlineLevel="0" collapsed="false">
      <c r="A74" s="6" t="n">
        <f aca="false">Sheet2_Cleaned_Data!E73</f>
        <v>70937.24</v>
      </c>
      <c r="B74" s="6" t="n">
        <f aca="false">Sheet2_Cleaned_Data!F73</f>
        <v>3595</v>
      </c>
      <c r="C74" s="6" t="n">
        <f aca="false">Sheet2_Cleaned_Data!G73</f>
        <v>0.141</v>
      </c>
      <c r="D74" s="6" t="n">
        <f aca="false">Sheet2_Cleaned_Data!I73</f>
        <v>88.9</v>
      </c>
      <c r="E74" s="6" t="n">
        <f aca="false">Sheet3_Dummy_Variables!D73</f>
        <v>0</v>
      </c>
      <c r="F74" s="6" t="n">
        <f aca="false">Sheet3_Dummy_Variables!E73</f>
        <v>0</v>
      </c>
      <c r="G74" s="6" t="n">
        <f aca="false">Sheet3_Dummy_Variables!F73</f>
        <v>0</v>
      </c>
    </row>
    <row r="75" customFormat="false" ht="15" hidden="false" customHeight="false" outlineLevel="0" collapsed="false">
      <c r="A75" s="6" t="n">
        <f aca="false">Sheet2_Cleaned_Data!E74</f>
        <v>36813.45</v>
      </c>
      <c r="B75" s="6" t="n">
        <f aca="false">Sheet2_Cleaned_Data!F74</f>
        <v>2834</v>
      </c>
      <c r="C75" s="6" t="n">
        <f aca="false">Sheet2_Cleaned_Data!G74</f>
        <v>0.191</v>
      </c>
      <c r="D75" s="6" t="n">
        <f aca="false">Sheet2_Cleaned_Data!I74</f>
        <v>81.8</v>
      </c>
      <c r="E75" s="6" t="n">
        <f aca="false">Sheet3_Dummy_Variables!D74</f>
        <v>0</v>
      </c>
      <c r="F75" s="6" t="n">
        <f aca="false">Sheet3_Dummy_Variables!E74</f>
        <v>0</v>
      </c>
      <c r="G75" s="6" t="n">
        <f aca="false">Sheet3_Dummy_Variables!F74</f>
        <v>0</v>
      </c>
    </row>
    <row r="76" customFormat="false" ht="15" hidden="false" customHeight="false" outlineLevel="0" collapsed="false">
      <c r="A76" s="6" t="n">
        <f aca="false">Sheet2_Cleaned_Data!E75</f>
        <v>60571.82</v>
      </c>
      <c r="B76" s="6" t="n">
        <f aca="false">Sheet2_Cleaned_Data!F75</f>
        <v>3193</v>
      </c>
      <c r="C76" s="6" t="n">
        <f aca="false">Sheet2_Cleaned_Data!G75</f>
        <v>0.197</v>
      </c>
      <c r="D76" s="6" t="n">
        <f aca="false">Sheet2_Cleaned_Data!I75</f>
        <v>99</v>
      </c>
      <c r="E76" s="6" t="n">
        <f aca="false">Sheet3_Dummy_Variables!D75</f>
        <v>0</v>
      </c>
      <c r="F76" s="6" t="n">
        <f aca="false">Sheet3_Dummy_Variables!E75</f>
        <v>0</v>
      </c>
      <c r="G76" s="6" t="n">
        <f aca="false">Sheet3_Dummy_Variables!F75</f>
        <v>0</v>
      </c>
    </row>
    <row r="77" customFormat="false" ht="15" hidden="false" customHeight="false" outlineLevel="0" collapsed="false">
      <c r="A77" s="6" t="n">
        <f aca="false">Sheet2_Cleaned_Data!E76</f>
        <v>55081.16</v>
      </c>
      <c r="B77" s="6" t="n">
        <f aca="false">Sheet2_Cleaned_Data!F76</f>
        <v>5485</v>
      </c>
      <c r="C77" s="6" t="n">
        <f aca="false">Sheet2_Cleaned_Data!G76</f>
        <v>0.036</v>
      </c>
      <c r="D77" s="6" t="n">
        <f aca="false">Sheet2_Cleaned_Data!I76</f>
        <v>88</v>
      </c>
      <c r="E77" s="6" t="n">
        <f aca="false">Sheet3_Dummy_Variables!D76</f>
        <v>0</v>
      </c>
      <c r="F77" s="6" t="n">
        <f aca="false">Sheet3_Dummy_Variables!E76</f>
        <v>0</v>
      </c>
      <c r="G77" s="6" t="n">
        <f aca="false">Sheet3_Dummy_Variables!F76</f>
        <v>0</v>
      </c>
    </row>
    <row r="78" customFormat="false" ht="15" hidden="false" customHeight="false" outlineLevel="0" collapsed="false">
      <c r="A78" s="6" t="n">
        <f aca="false">Sheet2_Cleaned_Data!E77</f>
        <v>46201.46</v>
      </c>
      <c r="B78" s="6" t="n">
        <f aca="false">Sheet2_Cleaned_Data!F77</f>
        <v>5918</v>
      </c>
      <c r="C78" s="6" t="n">
        <f aca="false">Sheet2_Cleaned_Data!G77</f>
        <v>0.277</v>
      </c>
      <c r="D78" s="6" t="n">
        <f aca="false">Sheet2_Cleaned_Data!I77</f>
        <v>78.8</v>
      </c>
      <c r="E78" s="6" t="n">
        <f aca="false">Sheet3_Dummy_Variables!D77</f>
        <v>0</v>
      </c>
      <c r="F78" s="6" t="n">
        <f aca="false">Sheet3_Dummy_Variables!E77</f>
        <v>0</v>
      </c>
      <c r="G78" s="6" t="n">
        <f aca="false">Sheet3_Dummy_Variables!F77</f>
        <v>1</v>
      </c>
    </row>
    <row r="79" customFormat="false" ht="15" hidden="false" customHeight="false" outlineLevel="0" collapsed="false">
      <c r="A79" s="6" t="n">
        <f aca="false">Sheet2_Cleaned_Data!E78</f>
        <v>53762.92</v>
      </c>
      <c r="B79" s="6" t="n">
        <f aca="false">Sheet2_Cleaned_Data!F78</f>
        <v>6821</v>
      </c>
      <c r="C79" s="6" t="n">
        <f aca="false">Sheet2_Cleaned_Data!G78</f>
        <v>0.066</v>
      </c>
      <c r="D79" s="6" t="n">
        <f aca="false">Sheet2_Cleaned_Data!I78</f>
        <v>94.6</v>
      </c>
      <c r="E79" s="6" t="n">
        <f aca="false">Sheet3_Dummy_Variables!D78</f>
        <v>0</v>
      </c>
      <c r="F79" s="6" t="n">
        <f aca="false">Sheet3_Dummy_Variables!E78</f>
        <v>0</v>
      </c>
      <c r="G79" s="6" t="n">
        <f aca="false">Sheet3_Dummy_Variables!F78</f>
        <v>1</v>
      </c>
    </row>
    <row r="80" customFormat="false" ht="15" hidden="false" customHeight="false" outlineLevel="0" collapsed="false">
      <c r="A80" s="6" t="n">
        <f aca="false">Sheet2_Cleaned_Data!E79</f>
        <v>70144.78</v>
      </c>
      <c r="B80" s="6" t="n">
        <f aca="false">Sheet2_Cleaned_Data!F79</f>
        <v>6806</v>
      </c>
      <c r="C80" s="6" t="n">
        <f aca="false">Sheet2_Cleaned_Data!G79</f>
        <v>0.178</v>
      </c>
      <c r="D80" s="6" t="n">
        <f aca="false">Sheet2_Cleaned_Data!I79</f>
        <v>93.1</v>
      </c>
      <c r="E80" s="6" t="n">
        <f aca="false">Sheet3_Dummy_Variables!D79</f>
        <v>0</v>
      </c>
      <c r="F80" s="6" t="n">
        <f aca="false">Sheet3_Dummy_Variables!E79</f>
        <v>0</v>
      </c>
      <c r="G80" s="6" t="n">
        <f aca="false">Sheet3_Dummy_Variables!F79</f>
        <v>1</v>
      </c>
    </row>
    <row r="81" customFormat="false" ht="15" hidden="false" customHeight="false" outlineLevel="0" collapsed="false">
      <c r="A81" s="6" t="n">
        <f aca="false">Sheet2_Cleaned_Data!E80</f>
        <v>58749.63</v>
      </c>
      <c r="B81" s="6" t="n">
        <f aca="false">Sheet2_Cleaned_Data!F80</f>
        <v>8252</v>
      </c>
      <c r="C81" s="6" t="n">
        <f aca="false">Sheet2_Cleaned_Data!G80</f>
        <v>0.203</v>
      </c>
      <c r="D81" s="6" t="n">
        <f aca="false">Sheet2_Cleaned_Data!I80</f>
        <v>85.2</v>
      </c>
      <c r="E81" s="6" t="n">
        <f aca="false">Sheet3_Dummy_Variables!D80</f>
        <v>0</v>
      </c>
      <c r="F81" s="6" t="n">
        <f aca="false">Sheet3_Dummy_Variables!E80</f>
        <v>0</v>
      </c>
      <c r="G81" s="6" t="n">
        <f aca="false">Sheet3_Dummy_Variables!F80</f>
        <v>1</v>
      </c>
    </row>
    <row r="82" customFormat="false" ht="15" hidden="false" customHeight="false" outlineLevel="0" collapsed="false">
      <c r="A82" s="6" t="n">
        <f aca="false">Sheet2_Cleaned_Data!E81</f>
        <v>56973.18</v>
      </c>
      <c r="B82" s="6" t="n">
        <f aca="false">Sheet2_Cleaned_Data!F81</f>
        <v>6662</v>
      </c>
      <c r="C82" s="6" t="n">
        <f aca="false">Sheet2_Cleaned_Data!G81</f>
        <v>0.1</v>
      </c>
      <c r="D82" s="6" t="n">
        <f aca="false">Sheet2_Cleaned_Data!I81</f>
        <v>77.7</v>
      </c>
      <c r="E82" s="6" t="n">
        <f aca="false">Sheet3_Dummy_Variables!D81</f>
        <v>0</v>
      </c>
      <c r="F82" s="6" t="n">
        <f aca="false">Sheet3_Dummy_Variables!E81</f>
        <v>0</v>
      </c>
      <c r="G82" s="6" t="n">
        <f aca="false">Sheet3_Dummy_Variables!F81</f>
        <v>0</v>
      </c>
    </row>
    <row r="83" customFormat="false" ht="15" hidden="false" customHeight="false" outlineLevel="0" collapsed="false">
      <c r="A83" s="6" t="n">
        <f aca="false">Sheet2_Cleaned_Data!E82</f>
        <v>54872.82</v>
      </c>
      <c r="B83" s="6" t="n">
        <f aca="false">Sheet2_Cleaned_Data!F82</f>
        <v>5962</v>
      </c>
      <c r="C83" s="6" t="n">
        <f aca="false">Sheet2_Cleaned_Data!G82</f>
        <v>0.064</v>
      </c>
      <c r="D83" s="6" t="n">
        <f aca="false">Sheet2_Cleaned_Data!I82</f>
        <v>85.4</v>
      </c>
      <c r="E83" s="6" t="n">
        <f aca="false">Sheet3_Dummy_Variables!D82</f>
        <v>0</v>
      </c>
      <c r="F83" s="6" t="n">
        <f aca="false">Sheet3_Dummy_Variables!E82</f>
        <v>0</v>
      </c>
      <c r="G83" s="6" t="n">
        <f aca="false">Sheet3_Dummy_Variables!F82</f>
        <v>0</v>
      </c>
    </row>
    <row r="84" customFormat="false" ht="15" hidden="false" customHeight="false" outlineLevel="0" collapsed="false">
      <c r="A84" s="6" t="n">
        <f aca="false">Sheet2_Cleaned_Data!E83</f>
        <v>80562.81</v>
      </c>
      <c r="B84" s="6" t="n">
        <f aca="false">Sheet2_Cleaned_Data!F83</f>
        <v>7470</v>
      </c>
      <c r="C84" s="6" t="n">
        <f aca="false">Sheet2_Cleaned_Data!G83</f>
        <v>0.172</v>
      </c>
      <c r="D84" s="6" t="n">
        <f aca="false">Sheet2_Cleaned_Data!I83</f>
        <v>83.5</v>
      </c>
      <c r="E84" s="6" t="n">
        <f aca="false">Sheet3_Dummy_Variables!D83</f>
        <v>0</v>
      </c>
      <c r="F84" s="6" t="n">
        <f aca="false">Sheet3_Dummy_Variables!E83</f>
        <v>0</v>
      </c>
      <c r="G84" s="6" t="n">
        <f aca="false">Sheet3_Dummy_Variables!F83</f>
        <v>0</v>
      </c>
    </row>
    <row r="85" customFormat="false" ht="15" hidden="false" customHeight="false" outlineLevel="0" collapsed="false">
      <c r="A85" s="6" t="n">
        <f aca="false">Sheet2_Cleaned_Data!E84</f>
        <v>77999.9</v>
      </c>
      <c r="B85" s="6" t="n">
        <f aca="false">Sheet2_Cleaned_Data!F84</f>
        <v>5974</v>
      </c>
      <c r="C85" s="6" t="n">
        <f aca="false">Sheet2_Cleaned_Data!G84</f>
        <v>0.252</v>
      </c>
      <c r="D85" s="6" t="n">
        <f aca="false">Sheet2_Cleaned_Data!I84</f>
        <v>81.3</v>
      </c>
      <c r="E85" s="6" t="n">
        <f aca="false">Sheet3_Dummy_Variables!D84</f>
        <v>0</v>
      </c>
      <c r="F85" s="6" t="n">
        <f aca="false">Sheet3_Dummy_Variables!E84</f>
        <v>0</v>
      </c>
      <c r="G85" s="6" t="n">
        <f aca="false">Sheet3_Dummy_Variables!F84</f>
        <v>0</v>
      </c>
    </row>
    <row r="86" customFormat="false" ht="15" hidden="false" customHeight="false" outlineLevel="0" collapsed="false">
      <c r="A86" s="6" t="n">
        <f aca="false">Sheet2_Cleaned_Data!E85</f>
        <v>60881.01</v>
      </c>
      <c r="B86" s="6" t="n">
        <f aca="false">Sheet2_Cleaned_Data!F85</f>
        <v>5410</v>
      </c>
      <c r="C86" s="6" t="n">
        <f aca="false">Sheet2_Cleaned_Data!G85</f>
        <v>0.179</v>
      </c>
      <c r="D86" s="6" t="n">
        <f aca="false">Sheet2_Cleaned_Data!I85</f>
        <v>83.9</v>
      </c>
      <c r="E86" s="6" t="n">
        <f aca="false">Sheet3_Dummy_Variables!D85</f>
        <v>0</v>
      </c>
      <c r="F86" s="6" t="n">
        <f aca="false">Sheet3_Dummy_Variables!E85</f>
        <v>1</v>
      </c>
      <c r="G86" s="6" t="n">
        <f aca="false">Sheet3_Dummy_Variables!F85</f>
        <v>0</v>
      </c>
    </row>
    <row r="87" customFormat="false" ht="15" hidden="false" customHeight="false" outlineLevel="0" collapsed="false">
      <c r="A87" s="6" t="n">
        <f aca="false">Sheet2_Cleaned_Data!E86</f>
        <v>60628.38</v>
      </c>
      <c r="B87" s="6" t="n">
        <f aca="false">Sheet2_Cleaned_Data!F86</f>
        <v>4451</v>
      </c>
      <c r="C87" s="6" t="n">
        <f aca="false">Sheet2_Cleaned_Data!G86</f>
        <v>0.095</v>
      </c>
      <c r="D87" s="6" t="n">
        <f aca="false">Sheet2_Cleaned_Data!I86</f>
        <v>89.6</v>
      </c>
      <c r="E87" s="6" t="n">
        <f aca="false">Sheet3_Dummy_Variables!D86</f>
        <v>0</v>
      </c>
      <c r="F87" s="6" t="n">
        <f aca="false">Sheet3_Dummy_Variables!E86</f>
        <v>1</v>
      </c>
      <c r="G87" s="6" t="n">
        <f aca="false">Sheet3_Dummy_Variables!F86</f>
        <v>0</v>
      </c>
    </row>
    <row r="88" customFormat="false" ht="15" hidden="false" customHeight="false" outlineLevel="0" collapsed="false">
      <c r="A88" s="6" t="n">
        <f aca="false">Sheet2_Cleaned_Data!E87</f>
        <v>72731.14</v>
      </c>
      <c r="B88" s="6" t="n">
        <f aca="false">Sheet2_Cleaned_Data!F87</f>
        <v>4644</v>
      </c>
      <c r="C88" s="6" t="n">
        <f aca="false">Sheet2_Cleaned_Data!G87</f>
        <v>0.084</v>
      </c>
      <c r="D88" s="6" t="n">
        <f aca="false">Sheet2_Cleaned_Data!I87</f>
        <v>87.1</v>
      </c>
      <c r="E88" s="6" t="n">
        <f aca="false">Sheet3_Dummy_Variables!D87</f>
        <v>0</v>
      </c>
      <c r="F88" s="6" t="n">
        <f aca="false">Sheet3_Dummy_Variables!E87</f>
        <v>1</v>
      </c>
      <c r="G88" s="6" t="n">
        <f aca="false">Sheet3_Dummy_Variables!F87</f>
        <v>0</v>
      </c>
    </row>
    <row r="89" customFormat="false" ht="15" hidden="false" customHeight="false" outlineLevel="0" collapsed="false">
      <c r="A89" s="6" t="n">
        <f aca="false">Sheet2_Cleaned_Data!E88</f>
        <v>36475.71</v>
      </c>
      <c r="B89" s="6" t="n">
        <f aca="false">Sheet2_Cleaned_Data!F88</f>
        <v>3559</v>
      </c>
      <c r="C89" s="6" t="n">
        <f aca="false">Sheet2_Cleaned_Data!G88</f>
        <v>0.03</v>
      </c>
      <c r="D89" s="6" t="n">
        <f aca="false">Sheet2_Cleaned_Data!I88</f>
        <v>83.6</v>
      </c>
      <c r="E89" s="6" t="n">
        <f aca="false">Sheet3_Dummy_Variables!D88</f>
        <v>0</v>
      </c>
      <c r="F89" s="6" t="n">
        <f aca="false">Sheet3_Dummy_Variables!E88</f>
        <v>1</v>
      </c>
      <c r="G89" s="6" t="n">
        <f aca="false">Sheet3_Dummy_Variables!F88</f>
        <v>0</v>
      </c>
    </row>
    <row r="90" customFormat="false" ht="15" hidden="false" customHeight="false" outlineLevel="0" collapsed="false">
      <c r="A90" s="6" t="n">
        <f aca="false">Sheet2_Cleaned_Data!E89</f>
        <v>55388.11</v>
      </c>
      <c r="B90" s="6" t="n">
        <f aca="false">Sheet2_Cleaned_Data!F89</f>
        <v>3091</v>
      </c>
      <c r="C90" s="6" t="n">
        <f aca="false">Sheet2_Cleaned_Data!G89</f>
        <v>0.108</v>
      </c>
      <c r="D90" s="6" t="n">
        <f aca="false">Sheet2_Cleaned_Data!I89</f>
        <v>85.4</v>
      </c>
      <c r="E90" s="6" t="n">
        <f aca="false">Sheet3_Dummy_Variables!D89</f>
        <v>0</v>
      </c>
      <c r="F90" s="6" t="n">
        <f aca="false">Sheet3_Dummy_Variables!E89</f>
        <v>0</v>
      </c>
      <c r="G90" s="6" t="n">
        <f aca="false">Sheet3_Dummy_Variables!F89</f>
        <v>0</v>
      </c>
    </row>
    <row r="91" customFormat="false" ht="15" hidden="false" customHeight="false" outlineLevel="0" collapsed="false">
      <c r="A91" s="6" t="n">
        <f aca="false">Sheet2_Cleaned_Data!E90</f>
        <v>88443.77</v>
      </c>
      <c r="B91" s="6" t="n">
        <f aca="false">Sheet2_Cleaned_Data!F90</f>
        <v>4004</v>
      </c>
      <c r="C91" s="6" t="n">
        <f aca="false">Sheet2_Cleaned_Data!G90</f>
        <v>0.206</v>
      </c>
      <c r="D91" s="6" t="n">
        <f aca="false">Sheet2_Cleaned_Data!I90</f>
        <v>91.9</v>
      </c>
      <c r="E91" s="6" t="n">
        <f aca="false">Sheet3_Dummy_Variables!D90</f>
        <v>0</v>
      </c>
      <c r="F91" s="6" t="n">
        <f aca="false">Sheet3_Dummy_Variables!E90</f>
        <v>0</v>
      </c>
      <c r="G91" s="6" t="n">
        <f aca="false">Sheet3_Dummy_Variables!F90</f>
        <v>0</v>
      </c>
    </row>
    <row r="92" customFormat="false" ht="15" hidden="false" customHeight="false" outlineLevel="0" collapsed="false">
      <c r="A92" s="6" t="n">
        <f aca="false">Sheet2_Cleaned_Data!E91</f>
        <v>78231.91</v>
      </c>
      <c r="B92" s="6" t="n">
        <f aca="false">Sheet2_Cleaned_Data!F91</f>
        <v>3788</v>
      </c>
      <c r="C92" s="6" t="n">
        <f aca="false">Sheet2_Cleaned_Data!G91</f>
        <v>0.059</v>
      </c>
      <c r="D92" s="6" t="n">
        <f aca="false">Sheet2_Cleaned_Data!I91</f>
        <v>88.5</v>
      </c>
      <c r="E92" s="6" t="n">
        <f aca="false">Sheet3_Dummy_Variables!D91</f>
        <v>0</v>
      </c>
      <c r="F92" s="6" t="n">
        <f aca="false">Sheet3_Dummy_Variables!E91</f>
        <v>0</v>
      </c>
      <c r="G92" s="6" t="n">
        <f aca="false">Sheet3_Dummy_Variables!F91</f>
        <v>0</v>
      </c>
    </row>
    <row r="93" customFormat="false" ht="15" hidden="false" customHeight="false" outlineLevel="0" collapsed="false">
      <c r="A93" s="6" t="n">
        <f aca="false">Sheet2_Cleaned_Data!E92</f>
        <v>18996.32</v>
      </c>
      <c r="B93" s="6" t="n">
        <f aca="false">Sheet2_Cleaned_Data!F92</f>
        <v>1260</v>
      </c>
      <c r="C93" s="6" t="n">
        <f aca="false">Sheet2_Cleaned_Data!G92</f>
        <v>0.145</v>
      </c>
      <c r="D93" s="6" t="n">
        <f aca="false">Sheet2_Cleaned_Data!I92</f>
        <v>86.4</v>
      </c>
      <c r="E93" s="6" t="n">
        <f aca="false">Sheet3_Dummy_Variables!D92</f>
        <v>0</v>
      </c>
      <c r="F93" s="6" t="n">
        <f aca="false">Sheet3_Dummy_Variables!E92</f>
        <v>0</v>
      </c>
      <c r="G93" s="6" t="n">
        <f aca="false">Sheet3_Dummy_Variables!F92</f>
        <v>0</v>
      </c>
    </row>
    <row r="94" customFormat="false" ht="15" hidden="false" customHeight="false" outlineLevel="0" collapsed="false">
      <c r="A94" s="6" t="n">
        <f aca="false">Sheet2_Cleaned_Data!E93</f>
        <v>50517.94</v>
      </c>
      <c r="B94" s="6" t="n">
        <f aca="false">Sheet2_Cleaned_Data!F93</f>
        <v>7024</v>
      </c>
      <c r="C94" s="6" t="n">
        <f aca="false">Sheet2_Cleaned_Data!G93</f>
        <v>0.029</v>
      </c>
      <c r="D94" s="6" t="n">
        <f aca="false">Sheet2_Cleaned_Data!I93</f>
        <v>79.2</v>
      </c>
      <c r="E94" s="6" t="n">
        <f aca="false">Sheet3_Dummy_Variables!D93</f>
        <v>0</v>
      </c>
      <c r="F94" s="6" t="n">
        <f aca="false">Sheet3_Dummy_Variables!E93</f>
        <v>1</v>
      </c>
      <c r="G94" s="6" t="n">
        <f aca="false">Sheet3_Dummy_Variables!F93</f>
        <v>0</v>
      </c>
    </row>
    <row r="95" customFormat="false" ht="15" hidden="false" customHeight="false" outlineLevel="0" collapsed="false">
      <c r="A95" s="6" t="n">
        <f aca="false">Sheet2_Cleaned_Data!E94</f>
        <v>141540.29</v>
      </c>
      <c r="B95" s="6" t="n">
        <f aca="false">Sheet2_Cleaned_Data!F94</f>
        <v>5400</v>
      </c>
      <c r="C95" s="6" t="n">
        <f aca="false">Sheet2_Cleaned_Data!G94</f>
        <v>0.013</v>
      </c>
      <c r="D95" s="6" t="n">
        <f aca="false">Sheet2_Cleaned_Data!I94</f>
        <v>87</v>
      </c>
      <c r="E95" s="6" t="n">
        <f aca="false">Sheet3_Dummy_Variables!D94</f>
        <v>0</v>
      </c>
      <c r="F95" s="6" t="n">
        <f aca="false">Sheet3_Dummy_Variables!E94</f>
        <v>1</v>
      </c>
      <c r="G95" s="6" t="n">
        <f aca="false">Sheet3_Dummy_Variables!F94</f>
        <v>0</v>
      </c>
    </row>
    <row r="96" customFormat="false" ht="15" hidden="false" customHeight="false" outlineLevel="0" collapsed="false">
      <c r="A96" s="6" t="n">
        <f aca="false">Sheet2_Cleaned_Data!E95</f>
        <v>82116.19</v>
      </c>
      <c r="B96" s="6" t="n">
        <f aca="false">Sheet2_Cleaned_Data!F95</f>
        <v>5988</v>
      </c>
      <c r="C96" s="6" t="n">
        <f aca="false">Sheet2_Cleaned_Data!G95</f>
        <v>0.04</v>
      </c>
      <c r="D96" s="6" t="n">
        <f aca="false">Sheet2_Cleaned_Data!I95</f>
        <v>91.8</v>
      </c>
      <c r="E96" s="6" t="n">
        <f aca="false">Sheet3_Dummy_Variables!D95</f>
        <v>0</v>
      </c>
      <c r="F96" s="6" t="n">
        <f aca="false">Sheet3_Dummy_Variables!E95</f>
        <v>1</v>
      </c>
      <c r="G96" s="6" t="n">
        <f aca="false">Sheet3_Dummy_Variables!F95</f>
        <v>0</v>
      </c>
    </row>
    <row r="97" customFormat="false" ht="15" hidden="false" customHeight="false" outlineLevel="0" collapsed="false">
      <c r="A97" s="6" t="n">
        <f aca="false">Sheet2_Cleaned_Data!E96</f>
        <v>31207.51</v>
      </c>
      <c r="B97" s="6" t="n">
        <f aca="false">Sheet2_Cleaned_Data!F96</f>
        <v>3701</v>
      </c>
      <c r="C97" s="6" t="n">
        <f aca="false">Sheet2_Cleaned_Data!G96</f>
        <v>0.043</v>
      </c>
      <c r="D97" s="6" t="n">
        <f aca="false">Sheet2_Cleaned_Data!I96</f>
        <v>84.7</v>
      </c>
      <c r="E97" s="6" t="n">
        <f aca="false">Sheet3_Dummy_Variables!D96</f>
        <v>0</v>
      </c>
      <c r="F97" s="6" t="n">
        <f aca="false">Sheet3_Dummy_Variables!E96</f>
        <v>1</v>
      </c>
      <c r="G97" s="6" t="n">
        <f aca="false">Sheet3_Dummy_Variables!F96</f>
        <v>0</v>
      </c>
    </row>
    <row r="98" customFormat="false" ht="15" hidden="false" customHeight="false" outlineLevel="0" collapsed="false">
      <c r="A98" s="6" t="n">
        <f aca="false">Sheet2_Cleaned_Data!E97</f>
        <v>38966.59</v>
      </c>
      <c r="B98" s="6" t="n">
        <f aca="false">Sheet2_Cleaned_Data!F97</f>
        <v>4509</v>
      </c>
      <c r="C98" s="6" t="n">
        <f aca="false">Sheet2_Cleaned_Data!G97</f>
        <v>0.194</v>
      </c>
      <c r="D98" s="6" t="n">
        <f aca="false">Sheet2_Cleaned_Data!I97</f>
        <v>91.1</v>
      </c>
      <c r="E98" s="6" t="n">
        <f aca="false">Sheet3_Dummy_Variables!D97</f>
        <v>0</v>
      </c>
      <c r="F98" s="6" t="n">
        <f aca="false">Sheet3_Dummy_Variables!E97</f>
        <v>0</v>
      </c>
      <c r="G98" s="6" t="n">
        <f aca="false">Sheet3_Dummy_Variables!F97</f>
        <v>1</v>
      </c>
    </row>
    <row r="99" customFormat="false" ht="15" hidden="false" customHeight="false" outlineLevel="0" collapsed="false">
      <c r="A99" s="6" t="n">
        <f aca="false">Sheet2_Cleaned_Data!E98</f>
        <v>67439.3</v>
      </c>
      <c r="B99" s="6" t="n">
        <f aca="false">Sheet2_Cleaned_Data!F98</f>
        <v>6477</v>
      </c>
      <c r="C99" s="6" t="n">
        <f aca="false">Sheet2_Cleaned_Data!G98</f>
        <v>0</v>
      </c>
      <c r="D99" s="6" t="n">
        <f aca="false">Sheet2_Cleaned_Data!I98</f>
        <v>90.9</v>
      </c>
      <c r="E99" s="6" t="n">
        <f aca="false">Sheet3_Dummy_Variables!D98</f>
        <v>0</v>
      </c>
      <c r="F99" s="6" t="n">
        <f aca="false">Sheet3_Dummy_Variables!E98</f>
        <v>0</v>
      </c>
      <c r="G99" s="6" t="n">
        <f aca="false">Sheet3_Dummy_Variables!F98</f>
        <v>1</v>
      </c>
    </row>
    <row r="100" customFormat="false" ht="15" hidden="false" customHeight="false" outlineLevel="0" collapsed="false">
      <c r="A100" s="6" t="n">
        <f aca="false">Sheet2_Cleaned_Data!E99</f>
        <v>86421.88</v>
      </c>
      <c r="B100" s="6" t="n">
        <f aca="false">Sheet2_Cleaned_Data!F99</f>
        <v>7970</v>
      </c>
      <c r="C100" s="6" t="n">
        <f aca="false">Sheet2_Cleaned_Data!G99</f>
        <v>0.073</v>
      </c>
      <c r="D100" s="6" t="n">
        <f aca="false">Sheet2_Cleaned_Data!I99</f>
        <v>91.3</v>
      </c>
      <c r="E100" s="6" t="n">
        <f aca="false">Sheet3_Dummy_Variables!D99</f>
        <v>0</v>
      </c>
      <c r="F100" s="6" t="n">
        <f aca="false">Sheet3_Dummy_Variables!E99</f>
        <v>0</v>
      </c>
      <c r="G100" s="6" t="n">
        <f aca="false">Sheet3_Dummy_Variables!F99</f>
        <v>1</v>
      </c>
    </row>
    <row r="101" customFormat="false" ht="15" hidden="false" customHeight="false" outlineLevel="0" collapsed="false">
      <c r="A101" s="6" t="n">
        <f aca="false">Sheet2_Cleaned_Data!E100</f>
        <v>9534.65</v>
      </c>
      <c r="B101" s="6" t="n">
        <f aca="false">Sheet2_Cleaned_Data!F100</f>
        <v>6057</v>
      </c>
      <c r="C101" s="6" t="n">
        <f aca="false">Sheet2_Cleaned_Data!G100</f>
        <v>0.074</v>
      </c>
      <c r="D101" s="6" t="n">
        <f aca="false">Sheet2_Cleaned_Data!I100</f>
        <v>94.1</v>
      </c>
      <c r="E101" s="6" t="n">
        <f aca="false">Sheet3_Dummy_Variables!D100</f>
        <v>0</v>
      </c>
      <c r="F101" s="6" t="n">
        <f aca="false">Sheet3_Dummy_Variables!E100</f>
        <v>0</v>
      </c>
      <c r="G101" s="6" t="n">
        <f aca="false">Sheet3_Dummy_Variables!F100</f>
        <v>1</v>
      </c>
    </row>
    <row r="102" customFormat="false" ht="15" hidden="false" customHeight="false" outlineLevel="0" collapsed="false">
      <c r="A102" s="6" t="n">
        <f aca="false">Sheet2_Cleaned_Data!E101</f>
        <v>61132.07</v>
      </c>
      <c r="B102" s="6" t="n">
        <f aca="false">Sheet2_Cleaned_Data!F101</f>
        <v>6394</v>
      </c>
      <c r="C102" s="6" t="n">
        <f aca="false">Sheet2_Cleaned_Data!G101</f>
        <v>0.163</v>
      </c>
      <c r="D102" s="6" t="n">
        <f aca="false">Sheet2_Cleaned_Data!I101</f>
        <v>91</v>
      </c>
      <c r="E102" s="6" t="n">
        <f aca="false">Sheet3_Dummy_Variables!D101</f>
        <v>0</v>
      </c>
      <c r="F102" s="6" t="n">
        <f aca="false">Sheet3_Dummy_Variables!E101</f>
        <v>1</v>
      </c>
      <c r="G102" s="6" t="n">
        <f aca="false">Sheet3_Dummy_Variables!F101</f>
        <v>0</v>
      </c>
    </row>
    <row r="103" customFormat="false" ht="15" hidden="false" customHeight="false" outlineLevel="0" collapsed="false">
      <c r="A103" s="6" t="n">
        <f aca="false">Sheet2_Cleaned_Data!E102</f>
        <v>78839.39</v>
      </c>
      <c r="B103" s="6" t="n">
        <f aca="false">Sheet2_Cleaned_Data!F102</f>
        <v>5150</v>
      </c>
      <c r="C103" s="6" t="n">
        <f aca="false">Sheet2_Cleaned_Data!G102</f>
        <v>0.171</v>
      </c>
      <c r="D103" s="6" t="n">
        <f aca="false">Sheet2_Cleaned_Data!I102</f>
        <v>85.8</v>
      </c>
      <c r="E103" s="6" t="n">
        <f aca="false">Sheet3_Dummy_Variables!D102</f>
        <v>0</v>
      </c>
      <c r="F103" s="6" t="n">
        <f aca="false">Sheet3_Dummy_Variables!E102</f>
        <v>1</v>
      </c>
      <c r="G103" s="6" t="n">
        <f aca="false">Sheet3_Dummy_Variables!F102</f>
        <v>0</v>
      </c>
    </row>
    <row r="104" customFormat="false" ht="15" hidden="false" customHeight="false" outlineLevel="0" collapsed="false">
      <c r="A104" s="6" t="n">
        <f aca="false">Sheet2_Cleaned_Data!E103</f>
        <v>38752.8</v>
      </c>
      <c r="B104" s="6" t="n">
        <f aca="false">Sheet2_Cleaned_Data!F103</f>
        <v>4712</v>
      </c>
      <c r="C104" s="6" t="n">
        <f aca="false">Sheet2_Cleaned_Data!G103</f>
        <v>0.075</v>
      </c>
      <c r="D104" s="6" t="n">
        <f aca="false">Sheet2_Cleaned_Data!I103</f>
        <v>89.7</v>
      </c>
      <c r="E104" s="6" t="n">
        <f aca="false">Sheet3_Dummy_Variables!D103</f>
        <v>0</v>
      </c>
      <c r="F104" s="6" t="n">
        <f aca="false">Sheet3_Dummy_Variables!E103</f>
        <v>1</v>
      </c>
      <c r="G104" s="6" t="n">
        <f aca="false">Sheet3_Dummy_Variables!F103</f>
        <v>0</v>
      </c>
    </row>
    <row r="105" customFormat="false" ht="15" hidden="false" customHeight="false" outlineLevel="0" collapsed="false">
      <c r="A105" s="6" t="n">
        <f aca="false">Sheet2_Cleaned_Data!E104</f>
        <v>55101.1</v>
      </c>
      <c r="B105" s="6" t="n">
        <f aca="false">Sheet2_Cleaned_Data!F104</f>
        <v>5281</v>
      </c>
      <c r="C105" s="6" t="n">
        <f aca="false">Sheet2_Cleaned_Data!G104</f>
        <v>0.189</v>
      </c>
      <c r="D105" s="6" t="n">
        <f aca="false">Sheet2_Cleaned_Data!I104</f>
        <v>91</v>
      </c>
      <c r="E105" s="6" t="n">
        <f aca="false">Sheet3_Dummy_Variables!D104</f>
        <v>0</v>
      </c>
      <c r="F105" s="6" t="n">
        <f aca="false">Sheet3_Dummy_Variables!E104</f>
        <v>1</v>
      </c>
      <c r="G105" s="6" t="n">
        <f aca="false">Sheet3_Dummy_Variables!F104</f>
        <v>0</v>
      </c>
    </row>
    <row r="106" customFormat="false" ht="15" hidden="false" customHeight="false" outlineLevel="0" collapsed="false">
      <c r="A106" s="6" t="n">
        <f aca="false">Sheet2_Cleaned_Data!E105</f>
        <v>53084.76</v>
      </c>
      <c r="B106" s="6" t="n">
        <f aca="false">Sheet2_Cleaned_Data!F105</f>
        <v>3642</v>
      </c>
      <c r="C106" s="6" t="n">
        <f aca="false">Sheet2_Cleaned_Data!G105</f>
        <v>0.15</v>
      </c>
      <c r="D106" s="6" t="n">
        <f aca="false">Sheet2_Cleaned_Data!I105</f>
        <v>91.4</v>
      </c>
      <c r="E106" s="6" t="n">
        <f aca="false">Sheet3_Dummy_Variables!D105</f>
        <v>0</v>
      </c>
      <c r="F106" s="6" t="n">
        <f aca="false">Sheet3_Dummy_Variables!E105</f>
        <v>1</v>
      </c>
      <c r="G106" s="6" t="n">
        <f aca="false">Sheet3_Dummy_Variables!F105</f>
        <v>0</v>
      </c>
    </row>
    <row r="107" customFormat="false" ht="15" hidden="false" customHeight="false" outlineLevel="0" collapsed="false">
      <c r="A107" s="6" t="n">
        <f aca="false">Sheet2_Cleaned_Data!E106</f>
        <v>63101.59</v>
      </c>
      <c r="B107" s="6" t="n">
        <f aca="false">Sheet2_Cleaned_Data!F106</f>
        <v>4373</v>
      </c>
      <c r="C107" s="6" t="n">
        <f aca="false">Sheet2_Cleaned_Data!G106</f>
        <v>0.173</v>
      </c>
      <c r="D107" s="6" t="n">
        <f aca="false">Sheet2_Cleaned_Data!I106</f>
        <v>90.4</v>
      </c>
      <c r="E107" s="6" t="n">
        <f aca="false">Sheet3_Dummy_Variables!D106</f>
        <v>0</v>
      </c>
      <c r="F107" s="6" t="n">
        <f aca="false">Sheet3_Dummy_Variables!E106</f>
        <v>1</v>
      </c>
      <c r="G107" s="6" t="n">
        <f aca="false">Sheet3_Dummy_Variables!F106</f>
        <v>0</v>
      </c>
    </row>
    <row r="108" customFormat="false" ht="15" hidden="false" customHeight="false" outlineLevel="0" collapsed="false">
      <c r="A108" s="6" t="n">
        <f aca="false">Sheet2_Cleaned_Data!E107</f>
        <v>90084.4</v>
      </c>
      <c r="B108" s="6" t="n">
        <f aca="false">Sheet2_Cleaned_Data!F107</f>
        <v>6832</v>
      </c>
      <c r="C108" s="6" t="n">
        <f aca="false">Sheet2_Cleaned_Data!G107</f>
        <v>0.185</v>
      </c>
      <c r="D108" s="6" t="n">
        <f aca="false">Sheet2_Cleaned_Data!I107</f>
        <v>80.5</v>
      </c>
      <c r="E108" s="6" t="n">
        <f aca="false">Sheet3_Dummy_Variables!D107</f>
        <v>0</v>
      </c>
      <c r="F108" s="6" t="n">
        <f aca="false">Sheet3_Dummy_Variables!E107</f>
        <v>1</v>
      </c>
      <c r="G108" s="6" t="n">
        <f aca="false">Sheet3_Dummy_Variables!F107</f>
        <v>0</v>
      </c>
    </row>
    <row r="109" customFormat="false" ht="15" hidden="false" customHeight="false" outlineLevel="0" collapsed="false">
      <c r="A109" s="6" t="n">
        <f aca="false">Sheet2_Cleaned_Data!E108</f>
        <v>32266.64</v>
      </c>
      <c r="B109" s="6" t="n">
        <f aca="false">Sheet2_Cleaned_Data!F108</f>
        <v>2414</v>
      </c>
      <c r="C109" s="6" t="n">
        <f aca="false">Sheet2_Cleaned_Data!G108</f>
        <v>0.08</v>
      </c>
      <c r="D109" s="6" t="n">
        <f aca="false">Sheet2_Cleaned_Data!I108</f>
        <v>92.1</v>
      </c>
      <c r="E109" s="6" t="n">
        <f aca="false">Sheet3_Dummy_Variables!D108</f>
        <v>0</v>
      </c>
      <c r="F109" s="6" t="n">
        <f aca="false">Sheet3_Dummy_Variables!E108</f>
        <v>1</v>
      </c>
      <c r="G109" s="6" t="n">
        <f aca="false">Sheet3_Dummy_Variables!F108</f>
        <v>0</v>
      </c>
    </row>
    <row r="110" customFormat="false" ht="15" hidden="false" customHeight="false" outlineLevel="0" collapsed="false">
      <c r="A110" s="6" t="n">
        <f aca="false">Sheet2_Cleaned_Data!E109</f>
        <v>57919.07</v>
      </c>
      <c r="B110" s="6" t="n">
        <f aca="false">Sheet2_Cleaned_Data!F109</f>
        <v>7374</v>
      </c>
      <c r="C110" s="6" t="n">
        <f aca="false">Sheet2_Cleaned_Data!G109</f>
        <v>0.103</v>
      </c>
      <c r="D110" s="6" t="n">
        <f aca="false">Sheet2_Cleaned_Data!I109</f>
        <v>82.3</v>
      </c>
      <c r="E110" s="6" t="n">
        <f aca="false">Sheet3_Dummy_Variables!D109</f>
        <v>0</v>
      </c>
      <c r="F110" s="6" t="n">
        <f aca="false">Sheet3_Dummy_Variables!E109</f>
        <v>0</v>
      </c>
      <c r="G110" s="6" t="n">
        <f aca="false">Sheet3_Dummy_Variables!F109</f>
        <v>0</v>
      </c>
    </row>
    <row r="111" customFormat="false" ht="15" hidden="false" customHeight="false" outlineLevel="0" collapsed="false">
      <c r="A111" s="6" t="n">
        <f aca="false">Sheet2_Cleaned_Data!E110</f>
        <v>74679.35</v>
      </c>
      <c r="B111" s="6" t="n">
        <f aca="false">Sheet2_Cleaned_Data!F110</f>
        <v>8739</v>
      </c>
      <c r="C111" s="6" t="n">
        <f aca="false">Sheet2_Cleaned_Data!G110</f>
        <v>0.056</v>
      </c>
      <c r="D111" s="6" t="n">
        <f aca="false">Sheet2_Cleaned_Data!I110</f>
        <v>91.8</v>
      </c>
      <c r="E111" s="6" t="n">
        <f aca="false">Sheet3_Dummy_Variables!D110</f>
        <v>0</v>
      </c>
      <c r="F111" s="6" t="n">
        <f aca="false">Sheet3_Dummy_Variables!E110</f>
        <v>0</v>
      </c>
      <c r="G111" s="6" t="n">
        <f aca="false">Sheet3_Dummy_Variables!F110</f>
        <v>0</v>
      </c>
    </row>
    <row r="112" customFormat="false" ht="15" hidden="false" customHeight="false" outlineLevel="0" collapsed="false">
      <c r="A112" s="6" t="n">
        <f aca="false">Sheet2_Cleaned_Data!E111</f>
        <v>64294.23</v>
      </c>
      <c r="B112" s="6" t="n">
        <f aca="false">Sheet2_Cleaned_Data!F111</f>
        <v>6992</v>
      </c>
      <c r="C112" s="6" t="n">
        <f aca="false">Sheet2_Cleaned_Data!G111</f>
        <v>0.133</v>
      </c>
      <c r="D112" s="6" t="n">
        <f aca="false">Sheet2_Cleaned_Data!I111</f>
        <v>94.1</v>
      </c>
      <c r="E112" s="6" t="n">
        <f aca="false">Sheet3_Dummy_Variables!D111</f>
        <v>0</v>
      </c>
      <c r="F112" s="6" t="n">
        <f aca="false">Sheet3_Dummy_Variables!E111</f>
        <v>0</v>
      </c>
      <c r="G112" s="6" t="n">
        <f aca="false">Sheet3_Dummy_Variables!F111</f>
        <v>0</v>
      </c>
    </row>
    <row r="113" customFormat="false" ht="15" hidden="false" customHeight="false" outlineLevel="0" collapsed="false">
      <c r="A113" s="6" t="n">
        <f aca="false">Sheet2_Cleaned_Data!E112</f>
        <v>31042.03</v>
      </c>
      <c r="B113" s="6" t="n">
        <f aca="false">Sheet2_Cleaned_Data!F112</f>
        <v>7107</v>
      </c>
      <c r="C113" s="6" t="n">
        <f aca="false">Sheet2_Cleaned_Data!G112</f>
        <v>0.051</v>
      </c>
      <c r="D113" s="6" t="n">
        <f aca="false">Sheet2_Cleaned_Data!I112</f>
        <v>87</v>
      </c>
      <c r="E113" s="6" t="n">
        <f aca="false">Sheet3_Dummy_Variables!D112</f>
        <v>0</v>
      </c>
      <c r="F113" s="6" t="n">
        <f aca="false">Sheet3_Dummy_Variables!E112</f>
        <v>0</v>
      </c>
      <c r="G113" s="6" t="n">
        <f aca="false">Sheet3_Dummy_Variables!F112</f>
        <v>0</v>
      </c>
    </row>
    <row r="114" customFormat="false" ht="15" hidden="false" customHeight="false" outlineLevel="0" collapsed="false">
      <c r="A114" s="6" t="n">
        <f aca="false">Sheet2_Cleaned_Data!E113</f>
        <v>75265.02</v>
      </c>
      <c r="B114" s="6" t="n">
        <f aca="false">Sheet2_Cleaned_Data!F113</f>
        <v>6975</v>
      </c>
      <c r="C114" s="6" t="n">
        <f aca="false">Sheet2_Cleaned_Data!G113</f>
        <v>0.157</v>
      </c>
      <c r="D114" s="6" t="n">
        <f aca="false">Sheet2_Cleaned_Data!I113</f>
        <v>73.8</v>
      </c>
      <c r="E114" s="6" t="n">
        <f aca="false">Sheet3_Dummy_Variables!D113</f>
        <v>0</v>
      </c>
      <c r="F114" s="6" t="n">
        <f aca="false">Sheet3_Dummy_Variables!E113</f>
        <v>1</v>
      </c>
      <c r="G114" s="6" t="n">
        <f aca="false">Sheet3_Dummy_Variables!F113</f>
        <v>0</v>
      </c>
    </row>
    <row r="115" customFormat="false" ht="15" hidden="false" customHeight="false" outlineLevel="0" collapsed="false">
      <c r="A115" s="6" t="n">
        <f aca="false">Sheet2_Cleaned_Data!E114</f>
        <v>69411.7</v>
      </c>
      <c r="B115" s="6" t="n">
        <f aca="false">Sheet2_Cleaned_Data!F114</f>
        <v>5493</v>
      </c>
      <c r="C115" s="6" t="n">
        <f aca="false">Sheet2_Cleaned_Data!G114</f>
        <v>0.292</v>
      </c>
      <c r="D115" s="6" t="n">
        <f aca="false">Sheet2_Cleaned_Data!I114</f>
        <v>86.5</v>
      </c>
      <c r="E115" s="6" t="n">
        <f aca="false">Sheet3_Dummy_Variables!D114</f>
        <v>0</v>
      </c>
      <c r="F115" s="6" t="n">
        <f aca="false">Sheet3_Dummy_Variables!E114</f>
        <v>1</v>
      </c>
      <c r="G115" s="6" t="n">
        <f aca="false">Sheet3_Dummy_Variables!F114</f>
        <v>0</v>
      </c>
    </row>
    <row r="116" customFormat="false" ht="15" hidden="false" customHeight="false" outlineLevel="0" collapsed="false">
      <c r="A116" s="6" t="n">
        <f aca="false">Sheet2_Cleaned_Data!E115</f>
        <v>51056.15</v>
      </c>
      <c r="B116" s="6" t="n">
        <f aca="false">Sheet2_Cleaned_Data!F115</f>
        <v>5686</v>
      </c>
      <c r="C116" s="6" t="n">
        <f aca="false">Sheet2_Cleaned_Data!G115</f>
        <v>0.089</v>
      </c>
      <c r="D116" s="6" t="n">
        <f aca="false">Sheet2_Cleaned_Data!I115</f>
        <v>89.9</v>
      </c>
      <c r="E116" s="6" t="n">
        <f aca="false">Sheet3_Dummy_Variables!D115</f>
        <v>0</v>
      </c>
      <c r="F116" s="6" t="n">
        <f aca="false">Sheet3_Dummy_Variables!E115</f>
        <v>1</v>
      </c>
      <c r="G116" s="6" t="n">
        <f aca="false">Sheet3_Dummy_Variables!F115</f>
        <v>0</v>
      </c>
    </row>
    <row r="117" customFormat="false" ht="15" hidden="false" customHeight="false" outlineLevel="0" collapsed="false">
      <c r="A117" s="6" t="n">
        <f aca="false">Sheet2_Cleaned_Data!E116</f>
        <v>52758.01</v>
      </c>
      <c r="B117" s="6" t="n">
        <f aca="false">Sheet2_Cleaned_Data!F116</f>
        <v>4063</v>
      </c>
      <c r="C117" s="6" t="n">
        <f aca="false">Sheet2_Cleaned_Data!G116</f>
        <v>0.057</v>
      </c>
      <c r="D117" s="6" t="n">
        <f aca="false">Sheet2_Cleaned_Data!I116</f>
        <v>91.7</v>
      </c>
      <c r="E117" s="6" t="n">
        <f aca="false">Sheet3_Dummy_Variables!D116</f>
        <v>0</v>
      </c>
      <c r="F117" s="6" t="n">
        <f aca="false">Sheet3_Dummy_Variables!E116</f>
        <v>1</v>
      </c>
      <c r="G117" s="6" t="n">
        <f aca="false">Sheet3_Dummy_Variables!F116</f>
        <v>0</v>
      </c>
    </row>
    <row r="118" customFormat="false" ht="15" hidden="false" customHeight="false" outlineLevel="0" collapsed="false">
      <c r="A118" s="6" t="n">
        <f aca="false">Sheet2_Cleaned_Data!E117</f>
        <v>61426.04</v>
      </c>
      <c r="B118" s="6" t="n">
        <f aca="false">Sheet2_Cleaned_Data!F117</f>
        <v>8966</v>
      </c>
      <c r="C118" s="6" t="n">
        <f aca="false">Sheet2_Cleaned_Data!G117</f>
        <v>0.173</v>
      </c>
      <c r="D118" s="6" t="n">
        <f aca="false">Sheet2_Cleaned_Data!I117</f>
        <v>76.4</v>
      </c>
      <c r="E118" s="6" t="n">
        <f aca="false">Sheet3_Dummy_Variables!D117</f>
        <v>0</v>
      </c>
      <c r="F118" s="6" t="n">
        <f aca="false">Sheet3_Dummy_Variables!E117</f>
        <v>1</v>
      </c>
      <c r="G118" s="6" t="n">
        <f aca="false">Sheet3_Dummy_Variables!F117</f>
        <v>0</v>
      </c>
    </row>
    <row r="119" customFormat="false" ht="15" hidden="false" customHeight="false" outlineLevel="0" collapsed="false">
      <c r="A119" s="6" t="n">
        <f aca="false">Sheet2_Cleaned_Data!E118</f>
        <v>80176.34</v>
      </c>
      <c r="B119" s="6" t="n">
        <f aca="false">Sheet2_Cleaned_Data!F118</f>
        <v>9489</v>
      </c>
      <c r="C119" s="6" t="n">
        <f aca="false">Sheet2_Cleaned_Data!G118</f>
        <v>0.142</v>
      </c>
      <c r="D119" s="6" t="n">
        <f aca="false">Sheet2_Cleaned_Data!I118</f>
        <v>94.3</v>
      </c>
      <c r="E119" s="6" t="n">
        <f aca="false">Sheet3_Dummy_Variables!D118</f>
        <v>0</v>
      </c>
      <c r="F119" s="6" t="n">
        <f aca="false">Sheet3_Dummy_Variables!E118</f>
        <v>1</v>
      </c>
      <c r="G119" s="6" t="n">
        <f aca="false">Sheet3_Dummy_Variables!F118</f>
        <v>0</v>
      </c>
    </row>
    <row r="120" customFormat="false" ht="15" hidden="false" customHeight="false" outlineLevel="0" collapsed="false">
      <c r="A120" s="6" t="n">
        <f aca="false">Sheet2_Cleaned_Data!E119</f>
        <v>33605.18</v>
      </c>
      <c r="B120" s="6" t="n">
        <f aca="false">Sheet2_Cleaned_Data!F119</f>
        <v>9225</v>
      </c>
      <c r="C120" s="6" t="n">
        <f aca="false">Sheet2_Cleaned_Data!G119</f>
        <v>0.159</v>
      </c>
      <c r="D120" s="6" t="n">
        <f aca="false">Sheet2_Cleaned_Data!I119</f>
        <v>88.4</v>
      </c>
      <c r="E120" s="6" t="n">
        <f aca="false">Sheet3_Dummy_Variables!D119</f>
        <v>0</v>
      </c>
      <c r="F120" s="6" t="n">
        <f aca="false">Sheet3_Dummy_Variables!E119</f>
        <v>1</v>
      </c>
      <c r="G120" s="6" t="n">
        <f aca="false">Sheet3_Dummy_Variables!F119</f>
        <v>0</v>
      </c>
    </row>
    <row r="121" customFormat="false" ht="15" hidden="false" customHeight="false" outlineLevel="0" collapsed="false">
      <c r="A121" s="6" t="n">
        <f aca="false">Sheet2_Cleaned_Data!E120</f>
        <v>25990.54</v>
      </c>
      <c r="B121" s="6" t="n">
        <f aca="false">Sheet2_Cleaned_Data!F120</f>
        <v>9249</v>
      </c>
      <c r="C121" s="6" t="n">
        <f aca="false">Sheet2_Cleaned_Data!G120</f>
        <v>0.139</v>
      </c>
      <c r="D121" s="6" t="n">
        <f aca="false">Sheet2_Cleaned_Data!I120</f>
        <v>92.5</v>
      </c>
      <c r="E121" s="6" t="n">
        <f aca="false">Sheet3_Dummy_Variables!D120</f>
        <v>0</v>
      </c>
      <c r="F121" s="6" t="n">
        <f aca="false">Sheet3_Dummy_Variables!E120</f>
        <v>1</v>
      </c>
      <c r="G121" s="6" t="n">
        <f aca="false">Sheet3_Dummy_Variables!F120</f>
        <v>0</v>
      </c>
    </row>
    <row r="122" customFormat="false" ht="15" hidden="false" customHeight="false" outlineLevel="0" collapsed="false">
      <c r="A122" s="6" t="n">
        <f aca="false">Sheet2_Cleaned_Data!E121</f>
        <v>43685.14</v>
      </c>
      <c r="B122" s="6" t="n">
        <f aca="false">Sheet2_Cleaned_Data!F121</f>
        <v>7821</v>
      </c>
      <c r="C122" s="6" t="n">
        <f aca="false">Sheet2_Cleaned_Data!G121</f>
        <v>0.19</v>
      </c>
      <c r="D122" s="6" t="n">
        <f aca="false">Sheet2_Cleaned_Data!I121</f>
        <v>91</v>
      </c>
      <c r="E122" s="6" t="n">
        <f aca="false">Sheet3_Dummy_Variables!D121</f>
        <v>0</v>
      </c>
      <c r="F122" s="6" t="n">
        <f aca="false">Sheet3_Dummy_Variables!E121</f>
        <v>0</v>
      </c>
      <c r="G122" s="6" t="n">
        <f aca="false">Sheet3_Dummy_Variables!F121</f>
        <v>1</v>
      </c>
    </row>
    <row r="123" customFormat="false" ht="15" hidden="false" customHeight="false" outlineLevel="0" collapsed="false">
      <c r="A123" s="6" t="n">
        <f aca="false">Sheet2_Cleaned_Data!E122</f>
        <v>57360.01</v>
      </c>
      <c r="B123" s="6" t="n">
        <f aca="false">Sheet2_Cleaned_Data!F122</f>
        <v>8434</v>
      </c>
      <c r="C123" s="6" t="n">
        <f aca="false">Sheet2_Cleaned_Data!G122</f>
        <v>0.151</v>
      </c>
      <c r="D123" s="6" t="n">
        <f aca="false">Sheet2_Cleaned_Data!I122</f>
        <v>84.1</v>
      </c>
      <c r="E123" s="6" t="n">
        <f aca="false">Sheet3_Dummy_Variables!D122</f>
        <v>0</v>
      </c>
      <c r="F123" s="6" t="n">
        <f aca="false">Sheet3_Dummy_Variables!E122</f>
        <v>0</v>
      </c>
      <c r="G123" s="6" t="n">
        <f aca="false">Sheet3_Dummy_Variables!F122</f>
        <v>1</v>
      </c>
    </row>
    <row r="124" customFormat="false" ht="15" hidden="false" customHeight="false" outlineLevel="0" collapsed="false">
      <c r="A124" s="6" t="n">
        <f aca="false">Sheet2_Cleaned_Data!E123</f>
        <v>42415.47</v>
      </c>
      <c r="B124" s="6" t="n">
        <f aca="false">Sheet2_Cleaned_Data!F123</f>
        <v>8512</v>
      </c>
      <c r="C124" s="6" t="n">
        <f aca="false">Sheet2_Cleaned_Data!G123</f>
        <v>0.133</v>
      </c>
      <c r="D124" s="6" t="n">
        <f aca="false">Sheet2_Cleaned_Data!I123</f>
        <v>96.8</v>
      </c>
      <c r="E124" s="6" t="n">
        <f aca="false">Sheet3_Dummy_Variables!D123</f>
        <v>0</v>
      </c>
      <c r="F124" s="6" t="n">
        <f aca="false">Sheet3_Dummy_Variables!E123</f>
        <v>0</v>
      </c>
      <c r="G124" s="6" t="n">
        <f aca="false">Sheet3_Dummy_Variables!F123</f>
        <v>1</v>
      </c>
    </row>
    <row r="125" customFormat="false" ht="15" hidden="false" customHeight="false" outlineLevel="0" collapsed="false">
      <c r="A125" s="6" t="n">
        <f aca="false">Sheet2_Cleaned_Data!E124</f>
        <v>54968.98</v>
      </c>
      <c r="B125" s="6" t="n">
        <f aca="false">Sheet2_Cleaned_Data!F124</f>
        <v>7816</v>
      </c>
      <c r="C125" s="6" t="n">
        <f aca="false">Sheet2_Cleaned_Data!G124</f>
        <v>0.232</v>
      </c>
      <c r="D125" s="6" t="n">
        <f aca="false">Sheet2_Cleaned_Data!I124</f>
        <v>95.7</v>
      </c>
      <c r="E125" s="6" t="n">
        <f aca="false">Sheet3_Dummy_Variables!D124</f>
        <v>0</v>
      </c>
      <c r="F125" s="6" t="n">
        <f aca="false">Sheet3_Dummy_Variables!E124</f>
        <v>0</v>
      </c>
      <c r="G125" s="6" t="n">
        <f aca="false">Sheet3_Dummy_Variables!F124</f>
        <v>1</v>
      </c>
    </row>
    <row r="126" customFormat="false" ht="15" hidden="false" customHeight="false" outlineLevel="0" collapsed="false">
      <c r="A126" s="6" t="n">
        <f aca="false">Sheet2_Cleaned_Data!E125</f>
        <v>43896.13</v>
      </c>
      <c r="B126" s="6" t="n">
        <f aca="false">Sheet2_Cleaned_Data!F125</f>
        <v>3853</v>
      </c>
      <c r="C126" s="6" t="n">
        <f aca="false">Sheet2_Cleaned_Data!G125</f>
        <v>0.088</v>
      </c>
      <c r="D126" s="6" t="n">
        <f aca="false">Sheet2_Cleaned_Data!I125</f>
        <v>83</v>
      </c>
      <c r="E126" s="6" t="n">
        <f aca="false">Sheet3_Dummy_Variables!D125</f>
        <v>0</v>
      </c>
      <c r="F126" s="6" t="n">
        <f aca="false">Sheet3_Dummy_Variables!E125</f>
        <v>0</v>
      </c>
      <c r="G126" s="6" t="n">
        <f aca="false">Sheet3_Dummy_Variables!F125</f>
        <v>0</v>
      </c>
    </row>
    <row r="127" customFormat="false" ht="15" hidden="false" customHeight="false" outlineLevel="0" collapsed="false">
      <c r="A127" s="6" t="n">
        <f aca="false">Sheet2_Cleaned_Data!E126</f>
        <v>83044.17</v>
      </c>
      <c r="B127" s="6" t="n">
        <f aca="false">Sheet2_Cleaned_Data!F126</f>
        <v>3694</v>
      </c>
      <c r="C127" s="6" t="n">
        <f aca="false">Sheet2_Cleaned_Data!G126</f>
        <v>0</v>
      </c>
      <c r="D127" s="6" t="n">
        <f aca="false">Sheet2_Cleaned_Data!I126</f>
        <v>89.4</v>
      </c>
      <c r="E127" s="6" t="n">
        <f aca="false">Sheet3_Dummy_Variables!D126</f>
        <v>0</v>
      </c>
      <c r="F127" s="6" t="n">
        <f aca="false">Sheet3_Dummy_Variables!E126</f>
        <v>0</v>
      </c>
      <c r="G127" s="6" t="n">
        <f aca="false">Sheet3_Dummy_Variables!F126</f>
        <v>0</v>
      </c>
    </row>
    <row r="128" customFormat="false" ht="15" hidden="false" customHeight="false" outlineLevel="0" collapsed="false">
      <c r="A128" s="6" t="n">
        <f aca="false">Sheet2_Cleaned_Data!E127</f>
        <v>48396.13</v>
      </c>
      <c r="B128" s="6" t="n">
        <f aca="false">Sheet2_Cleaned_Data!F127</f>
        <v>4423</v>
      </c>
      <c r="C128" s="6" t="n">
        <f aca="false">Sheet2_Cleaned_Data!G127</f>
        <v>0.069</v>
      </c>
      <c r="D128" s="6" t="n">
        <f aca="false">Sheet2_Cleaned_Data!I127</f>
        <v>85.7</v>
      </c>
      <c r="E128" s="6" t="n">
        <f aca="false">Sheet3_Dummy_Variables!D127</f>
        <v>0</v>
      </c>
      <c r="F128" s="6" t="n">
        <f aca="false">Sheet3_Dummy_Variables!E127</f>
        <v>0</v>
      </c>
      <c r="G128" s="6" t="n">
        <f aca="false">Sheet3_Dummy_Variables!F127</f>
        <v>0</v>
      </c>
    </row>
    <row r="129" customFormat="false" ht="15" hidden="false" customHeight="false" outlineLevel="0" collapsed="false">
      <c r="A129" s="6" t="n">
        <f aca="false">Sheet2_Cleaned_Data!E128</f>
        <v>19063.48</v>
      </c>
      <c r="B129" s="6" t="n">
        <f aca="false">Sheet2_Cleaned_Data!F128</f>
        <v>1906</v>
      </c>
      <c r="C129" s="6" t="n">
        <f aca="false">Sheet2_Cleaned_Data!G128</f>
        <v>0.216</v>
      </c>
      <c r="D129" s="6" t="n">
        <f aca="false">Sheet2_Cleaned_Data!I128</f>
        <v>97.8</v>
      </c>
      <c r="E129" s="6" t="n">
        <f aca="false">Sheet3_Dummy_Variables!D128</f>
        <v>0</v>
      </c>
      <c r="F129" s="6" t="n">
        <f aca="false">Sheet3_Dummy_Variables!E128</f>
        <v>0</v>
      </c>
      <c r="G129" s="6" t="n">
        <f aca="false">Sheet3_Dummy_Variables!F128</f>
        <v>0</v>
      </c>
    </row>
    <row r="130" customFormat="false" ht="15" hidden="false" customHeight="false" outlineLevel="0" collapsed="false">
      <c r="A130" s="6" t="n">
        <f aca="false">Sheet2_Cleaned_Data!E129</f>
        <v>61541.21</v>
      </c>
      <c r="B130" s="6" t="n">
        <f aca="false">Sheet2_Cleaned_Data!F129</f>
        <v>10396</v>
      </c>
      <c r="C130" s="6" t="n">
        <f aca="false">Sheet2_Cleaned_Data!G129</f>
        <v>0.123</v>
      </c>
      <c r="D130" s="6" t="n">
        <f aca="false">Sheet2_Cleaned_Data!I129</f>
        <v>88.1</v>
      </c>
      <c r="E130" s="6" t="n">
        <f aca="false">Sheet3_Dummy_Variables!D129</f>
        <v>0</v>
      </c>
      <c r="F130" s="6" t="n">
        <f aca="false">Sheet3_Dummy_Variables!E129</f>
        <v>0</v>
      </c>
      <c r="G130" s="6" t="n">
        <f aca="false">Sheet3_Dummy_Variables!F129</f>
        <v>0</v>
      </c>
    </row>
    <row r="131" customFormat="false" ht="15" hidden="false" customHeight="false" outlineLevel="0" collapsed="false">
      <c r="A131" s="6" t="n">
        <f aca="false">Sheet2_Cleaned_Data!E130</f>
        <v>44747</v>
      </c>
      <c r="B131" s="6" t="n">
        <f aca="false">Sheet2_Cleaned_Data!F130</f>
        <v>11076</v>
      </c>
      <c r="C131" s="6" t="n">
        <f aca="false">Sheet2_Cleaned_Data!G130</f>
        <v>0.176</v>
      </c>
      <c r="D131" s="6" t="n">
        <f aca="false">Sheet2_Cleaned_Data!I130</f>
        <v>98.3</v>
      </c>
      <c r="E131" s="6" t="n">
        <f aca="false">Sheet3_Dummy_Variables!D130</f>
        <v>0</v>
      </c>
      <c r="F131" s="6" t="n">
        <f aca="false">Sheet3_Dummy_Variables!E130</f>
        <v>0</v>
      </c>
      <c r="G131" s="6" t="n">
        <f aca="false">Sheet3_Dummy_Variables!F130</f>
        <v>0</v>
      </c>
    </row>
    <row r="132" customFormat="false" ht="15" hidden="false" customHeight="false" outlineLevel="0" collapsed="false">
      <c r="A132" s="6" t="n">
        <f aca="false">Sheet2_Cleaned_Data!E131</f>
        <v>56517.9</v>
      </c>
      <c r="B132" s="6" t="n">
        <f aca="false">Sheet2_Cleaned_Data!F131</f>
        <v>9574</v>
      </c>
      <c r="C132" s="6" t="n">
        <f aca="false">Sheet2_Cleaned_Data!G131</f>
        <v>0.204</v>
      </c>
      <c r="D132" s="6" t="n">
        <f aca="false">Sheet2_Cleaned_Data!I131</f>
        <v>88.2</v>
      </c>
      <c r="E132" s="6" t="n">
        <f aca="false">Sheet3_Dummy_Variables!D131</f>
        <v>0</v>
      </c>
      <c r="F132" s="6" t="n">
        <f aca="false">Sheet3_Dummy_Variables!E131</f>
        <v>0</v>
      </c>
      <c r="G132" s="6" t="n">
        <f aca="false">Sheet3_Dummy_Variables!F131</f>
        <v>0</v>
      </c>
    </row>
    <row r="133" customFormat="false" ht="15" hidden="false" customHeight="false" outlineLevel="0" collapsed="false">
      <c r="A133" s="6" t="n">
        <f aca="false">Sheet2_Cleaned_Data!E132</f>
        <v>37828.5</v>
      </c>
      <c r="B133" s="6" t="n">
        <f aca="false">Sheet2_Cleaned_Data!F132</f>
        <v>8221</v>
      </c>
      <c r="C133" s="6" t="n">
        <f aca="false">Sheet2_Cleaned_Data!G132</f>
        <v>0.096</v>
      </c>
      <c r="D133" s="6" t="n">
        <f aca="false">Sheet2_Cleaned_Data!I132</f>
        <v>81.5</v>
      </c>
      <c r="E133" s="6" t="n">
        <f aca="false">Sheet3_Dummy_Variables!D132</f>
        <v>0</v>
      </c>
      <c r="F133" s="6" t="n">
        <f aca="false">Sheet3_Dummy_Variables!E132</f>
        <v>0</v>
      </c>
      <c r="G133" s="6" t="n">
        <f aca="false">Sheet3_Dummy_Variables!F132</f>
        <v>0</v>
      </c>
    </row>
    <row r="134" customFormat="false" ht="15" hidden="false" customHeight="false" outlineLevel="0" collapsed="false">
      <c r="A134" s="6" t="n">
        <f aca="false">Sheet2_Cleaned_Data!E133</f>
        <v>66250.53</v>
      </c>
      <c r="B134" s="6" t="n">
        <f aca="false">Sheet2_Cleaned_Data!F133</f>
        <v>10618</v>
      </c>
      <c r="C134" s="6" t="n">
        <f aca="false">Sheet2_Cleaned_Data!G133</f>
        <v>0.142</v>
      </c>
      <c r="D134" s="6" t="n">
        <f aca="false">Sheet2_Cleaned_Data!I133</f>
        <v>88.3</v>
      </c>
      <c r="E134" s="6" t="n">
        <f aca="false">Sheet3_Dummy_Variables!D133</f>
        <v>0</v>
      </c>
      <c r="F134" s="6" t="n">
        <f aca="false">Sheet3_Dummy_Variables!E133</f>
        <v>0</v>
      </c>
      <c r="G134" s="6" t="n">
        <f aca="false">Sheet3_Dummy_Variables!F133</f>
        <v>0</v>
      </c>
    </row>
    <row r="135" customFormat="false" ht="15" hidden="false" customHeight="false" outlineLevel="0" collapsed="false">
      <c r="A135" s="6" t="n">
        <f aca="false">Sheet2_Cleaned_Data!E134</f>
        <v>68410.93</v>
      </c>
      <c r="B135" s="6" t="n">
        <f aca="false">Sheet2_Cleaned_Data!F134</f>
        <v>10596</v>
      </c>
      <c r="C135" s="6" t="n">
        <f aca="false">Sheet2_Cleaned_Data!G134</f>
        <v>0.207</v>
      </c>
      <c r="D135" s="6" t="n">
        <f aca="false">Sheet2_Cleaned_Data!I134</f>
        <v>81.2</v>
      </c>
      <c r="E135" s="6" t="n">
        <f aca="false">Sheet3_Dummy_Variables!D134</f>
        <v>0</v>
      </c>
      <c r="F135" s="6" t="n">
        <f aca="false">Sheet3_Dummy_Variables!E134</f>
        <v>0</v>
      </c>
      <c r="G135" s="6" t="n">
        <f aca="false">Sheet3_Dummy_Variables!F134</f>
        <v>0</v>
      </c>
    </row>
    <row r="136" customFormat="false" ht="15" hidden="false" customHeight="false" outlineLevel="0" collapsed="false">
      <c r="A136" s="6" t="n">
        <f aca="false">Sheet2_Cleaned_Data!E135</f>
        <v>50735.63</v>
      </c>
      <c r="B136" s="6" t="n">
        <f aca="false">Sheet2_Cleaned_Data!F135</f>
        <v>9619</v>
      </c>
      <c r="C136" s="6" t="n">
        <f aca="false">Sheet2_Cleaned_Data!G135</f>
        <v>0.144</v>
      </c>
      <c r="D136" s="6" t="n">
        <f aca="false">Sheet2_Cleaned_Data!I135</f>
        <v>93.8</v>
      </c>
      <c r="E136" s="6" t="n">
        <f aca="false">Sheet3_Dummy_Variables!D135</f>
        <v>0</v>
      </c>
      <c r="F136" s="6" t="n">
        <f aca="false">Sheet3_Dummy_Variables!E135</f>
        <v>0</v>
      </c>
      <c r="G136" s="6" t="n">
        <f aca="false">Sheet3_Dummy_Variables!F135</f>
        <v>0</v>
      </c>
    </row>
    <row r="137" customFormat="false" ht="15" hidden="false" customHeight="false" outlineLevel="0" collapsed="false">
      <c r="A137" s="6" t="n">
        <f aca="false">Sheet2_Cleaned_Data!E136</f>
        <v>66455.8</v>
      </c>
      <c r="B137" s="6" t="n">
        <f aca="false">Sheet2_Cleaned_Data!F136</f>
        <v>10836</v>
      </c>
      <c r="C137" s="6" t="n">
        <f aca="false">Sheet2_Cleaned_Data!G136</f>
        <v>0.089</v>
      </c>
      <c r="D137" s="6" t="n">
        <f aca="false">Sheet2_Cleaned_Data!I136</f>
        <v>85</v>
      </c>
      <c r="E137" s="6" t="n">
        <f aca="false">Sheet3_Dummy_Variables!D136</f>
        <v>0</v>
      </c>
      <c r="F137" s="6" t="n">
        <f aca="false">Sheet3_Dummy_Variables!E136</f>
        <v>0</v>
      </c>
      <c r="G137" s="6" t="n">
        <f aca="false">Sheet3_Dummy_Variables!F136</f>
        <v>0</v>
      </c>
    </row>
    <row r="138" customFormat="false" ht="15" hidden="false" customHeight="false" outlineLevel="0" collapsed="false">
      <c r="A138" s="6" t="n">
        <f aca="false">Sheet2_Cleaned_Data!E137</f>
        <v>70276.28</v>
      </c>
      <c r="B138" s="6" t="n">
        <f aca="false">Sheet2_Cleaned_Data!F137</f>
        <v>3043</v>
      </c>
      <c r="C138" s="6" t="n">
        <f aca="false">Sheet2_Cleaned_Data!G137</f>
        <v>0.079</v>
      </c>
      <c r="D138" s="6" t="n">
        <f aca="false">Sheet2_Cleaned_Data!I137</f>
        <v>87.9</v>
      </c>
      <c r="E138" s="6" t="n">
        <f aca="false">Sheet3_Dummy_Variables!D137</f>
        <v>0</v>
      </c>
      <c r="F138" s="6" t="n">
        <f aca="false">Sheet3_Dummy_Variables!E137</f>
        <v>0</v>
      </c>
      <c r="G138" s="6" t="n">
        <f aca="false">Sheet3_Dummy_Variables!F137</f>
        <v>0</v>
      </c>
    </row>
    <row r="139" customFormat="false" ht="15" hidden="false" customHeight="false" outlineLevel="0" collapsed="false">
      <c r="A139" s="6" t="n">
        <f aca="false">Sheet2_Cleaned_Data!E138</f>
        <v>22071.64</v>
      </c>
      <c r="B139" s="6" t="n">
        <f aca="false">Sheet2_Cleaned_Data!F138</f>
        <v>1814</v>
      </c>
      <c r="C139" s="6" t="n">
        <f aca="false">Sheet2_Cleaned_Data!G138</f>
        <v>0.196</v>
      </c>
      <c r="D139" s="6" t="n">
        <f aca="false">Sheet2_Cleaned_Data!I138</f>
        <v>81.1</v>
      </c>
      <c r="E139" s="6" t="n">
        <f aca="false">Sheet3_Dummy_Variables!D138</f>
        <v>0</v>
      </c>
      <c r="F139" s="6" t="n">
        <f aca="false">Sheet3_Dummy_Variables!E138</f>
        <v>0</v>
      </c>
      <c r="G139" s="6" t="n">
        <f aca="false">Sheet3_Dummy_Variables!F138</f>
        <v>0</v>
      </c>
    </row>
    <row r="140" customFormat="false" ht="15" hidden="false" customHeight="false" outlineLevel="0" collapsed="false">
      <c r="A140" s="6" t="n">
        <f aca="false">Sheet2_Cleaned_Data!E139</f>
        <v>52285.45</v>
      </c>
      <c r="B140" s="6" t="n">
        <f aca="false">Sheet2_Cleaned_Data!F139</f>
        <v>3618</v>
      </c>
      <c r="C140" s="6" t="n">
        <f aca="false">Sheet2_Cleaned_Data!G139</f>
        <v>0.086</v>
      </c>
      <c r="D140" s="6" t="n">
        <f aca="false">Sheet2_Cleaned_Data!I139</f>
        <v>95.6</v>
      </c>
      <c r="E140" s="6" t="n">
        <f aca="false">Sheet3_Dummy_Variables!D139</f>
        <v>0</v>
      </c>
      <c r="F140" s="6" t="n">
        <f aca="false">Sheet3_Dummy_Variables!E139</f>
        <v>0</v>
      </c>
      <c r="G140" s="6" t="n">
        <f aca="false">Sheet3_Dummy_Variables!F139</f>
        <v>0</v>
      </c>
    </row>
    <row r="141" customFormat="false" ht="15" hidden="false" customHeight="false" outlineLevel="0" collapsed="false">
      <c r="A141" s="6" t="n">
        <f aca="false">Sheet2_Cleaned_Data!E140</f>
        <v>70366.76</v>
      </c>
      <c r="B141" s="6" t="n">
        <f aca="false">Sheet2_Cleaned_Data!F140</f>
        <v>1963</v>
      </c>
      <c r="C141" s="6" t="n">
        <f aca="false">Sheet2_Cleaned_Data!G140</f>
        <v>0.182</v>
      </c>
      <c r="D141" s="6" t="n">
        <f aca="false">Sheet2_Cleaned_Data!I140</f>
        <v>89.8</v>
      </c>
      <c r="E141" s="6" t="n">
        <f aca="false">Sheet3_Dummy_Variables!D140</f>
        <v>0</v>
      </c>
      <c r="F141" s="6" t="n">
        <f aca="false">Sheet3_Dummy_Variables!E140</f>
        <v>0</v>
      </c>
      <c r="G141" s="6" t="n">
        <f aca="false">Sheet3_Dummy_Variables!F140</f>
        <v>0</v>
      </c>
    </row>
    <row r="142" customFormat="false" ht="15" hidden="false" customHeight="false" outlineLevel="0" collapsed="false">
      <c r="A142" s="6" t="n">
        <f aca="false">Sheet2_Cleaned_Data!E141</f>
        <v>71320.66</v>
      </c>
      <c r="B142" s="6" t="n">
        <f aca="false">Sheet2_Cleaned_Data!F141</f>
        <v>7888</v>
      </c>
      <c r="C142" s="6" t="n">
        <f aca="false">Sheet2_Cleaned_Data!G141</f>
        <v>0.048</v>
      </c>
      <c r="D142" s="6" t="n">
        <f aca="false">Sheet2_Cleaned_Data!I141</f>
        <v>78.1</v>
      </c>
      <c r="E142" s="6" t="n">
        <f aca="false">Sheet3_Dummy_Variables!D141</f>
        <v>0</v>
      </c>
      <c r="F142" s="6" t="n">
        <f aca="false">Sheet3_Dummy_Variables!E141</f>
        <v>0</v>
      </c>
      <c r="G142" s="6" t="n">
        <f aca="false">Sheet3_Dummy_Variables!F141</f>
        <v>1</v>
      </c>
    </row>
    <row r="143" customFormat="false" ht="15" hidden="false" customHeight="false" outlineLevel="0" collapsed="false">
      <c r="A143" s="6" t="n">
        <f aca="false">Sheet2_Cleaned_Data!E142</f>
        <v>75109.67</v>
      </c>
      <c r="B143" s="6" t="n">
        <f aca="false">Sheet2_Cleaned_Data!F142</f>
        <v>6244</v>
      </c>
      <c r="C143" s="6" t="n">
        <f aca="false">Sheet2_Cleaned_Data!G142</f>
        <v>0.079</v>
      </c>
      <c r="D143" s="6" t="n">
        <f aca="false">Sheet2_Cleaned_Data!I142</f>
        <v>96.3</v>
      </c>
      <c r="E143" s="6" t="n">
        <f aca="false">Sheet3_Dummy_Variables!D142</f>
        <v>0</v>
      </c>
      <c r="F143" s="6" t="n">
        <f aca="false">Sheet3_Dummy_Variables!E142</f>
        <v>0</v>
      </c>
      <c r="G143" s="6" t="n">
        <f aca="false">Sheet3_Dummy_Variables!F142</f>
        <v>1</v>
      </c>
    </row>
    <row r="144" customFormat="false" ht="15" hidden="false" customHeight="false" outlineLevel="0" collapsed="false">
      <c r="A144" s="6" t="n">
        <f aca="false">Sheet2_Cleaned_Data!E143</f>
        <v>69779</v>
      </c>
      <c r="B144" s="6" t="n">
        <f aca="false">Sheet2_Cleaned_Data!F143</f>
        <v>6544</v>
      </c>
      <c r="C144" s="6" t="n">
        <f aca="false">Sheet2_Cleaned_Data!G143</f>
        <v>0.152</v>
      </c>
      <c r="D144" s="6" t="n">
        <f aca="false">Sheet2_Cleaned_Data!I143</f>
        <v>90.2</v>
      </c>
      <c r="E144" s="6" t="n">
        <f aca="false">Sheet3_Dummy_Variables!D143</f>
        <v>0</v>
      </c>
      <c r="F144" s="6" t="n">
        <f aca="false">Sheet3_Dummy_Variables!E143</f>
        <v>0</v>
      </c>
      <c r="G144" s="6" t="n">
        <f aca="false">Sheet3_Dummy_Variables!F143</f>
        <v>1</v>
      </c>
    </row>
    <row r="145" customFormat="false" ht="15" hidden="false" customHeight="false" outlineLevel="0" collapsed="false">
      <c r="A145" s="6" t="n">
        <f aca="false">Sheet2_Cleaned_Data!E144</f>
        <v>44211.95</v>
      </c>
      <c r="B145" s="6" t="n">
        <f aca="false">Sheet2_Cleaned_Data!F144</f>
        <v>5465</v>
      </c>
      <c r="C145" s="6" t="n">
        <f aca="false">Sheet2_Cleaned_Data!G144</f>
        <v>0.187</v>
      </c>
      <c r="D145" s="6" t="n">
        <f aca="false">Sheet2_Cleaned_Data!I144</f>
        <v>90</v>
      </c>
      <c r="E145" s="6" t="n">
        <f aca="false">Sheet3_Dummy_Variables!D144</f>
        <v>0</v>
      </c>
      <c r="F145" s="6" t="n">
        <f aca="false">Sheet3_Dummy_Variables!E144</f>
        <v>0</v>
      </c>
      <c r="G145" s="6" t="n">
        <f aca="false">Sheet3_Dummy_Variables!F144</f>
        <v>1</v>
      </c>
    </row>
    <row r="146" customFormat="false" ht="15" hidden="false" customHeight="false" outlineLevel="0" collapsed="false">
      <c r="A146" s="6" t="n">
        <f aca="false">Sheet2_Cleaned_Data!E145</f>
        <v>51430.31</v>
      </c>
      <c r="B146" s="6" t="n">
        <f aca="false">Sheet2_Cleaned_Data!F145</f>
        <v>6427</v>
      </c>
      <c r="C146" s="6" t="n">
        <f aca="false">Sheet2_Cleaned_Data!G145</f>
        <v>0.234</v>
      </c>
      <c r="D146" s="6" t="n">
        <f aca="false">Sheet2_Cleaned_Data!I145</f>
        <v>88.8</v>
      </c>
      <c r="E146" s="6" t="n">
        <f aca="false">Sheet3_Dummy_Variables!D145</f>
        <v>0</v>
      </c>
      <c r="F146" s="6" t="n">
        <f aca="false">Sheet3_Dummy_Variables!E145</f>
        <v>0</v>
      </c>
      <c r="G146" s="6" t="n">
        <f aca="false">Sheet3_Dummy_Variables!F145</f>
        <v>0</v>
      </c>
    </row>
    <row r="147" customFormat="false" ht="15" hidden="false" customHeight="false" outlineLevel="0" collapsed="false">
      <c r="A147" s="6" t="n">
        <f aca="false">Sheet2_Cleaned_Data!E146</f>
        <v>45706.49</v>
      </c>
      <c r="B147" s="6" t="n">
        <f aca="false">Sheet2_Cleaned_Data!F146</f>
        <v>6704</v>
      </c>
      <c r="C147" s="6" t="n">
        <f aca="false">Sheet2_Cleaned_Data!G146</f>
        <v>0.038</v>
      </c>
      <c r="D147" s="6" t="n">
        <f aca="false">Sheet2_Cleaned_Data!I146</f>
        <v>94.2</v>
      </c>
      <c r="E147" s="6" t="n">
        <f aca="false">Sheet3_Dummy_Variables!D146</f>
        <v>0</v>
      </c>
      <c r="F147" s="6" t="n">
        <f aca="false">Sheet3_Dummy_Variables!E146</f>
        <v>0</v>
      </c>
      <c r="G147" s="6" t="n">
        <f aca="false">Sheet3_Dummy_Variables!F146</f>
        <v>0</v>
      </c>
    </row>
    <row r="148" customFormat="false" ht="15" hidden="false" customHeight="false" outlineLevel="0" collapsed="false">
      <c r="A148" s="6" t="n">
        <f aca="false">Sheet2_Cleaned_Data!E147</f>
        <v>44034.6</v>
      </c>
      <c r="B148" s="6" t="n">
        <f aca="false">Sheet2_Cleaned_Data!F147</f>
        <v>5645</v>
      </c>
      <c r="C148" s="6" t="n">
        <f aca="false">Sheet2_Cleaned_Data!G147</f>
        <v>0.069</v>
      </c>
      <c r="D148" s="6" t="n">
        <f aca="false">Sheet2_Cleaned_Data!I147</f>
        <v>88.5</v>
      </c>
      <c r="E148" s="6" t="n">
        <f aca="false">Sheet3_Dummy_Variables!D147</f>
        <v>0</v>
      </c>
      <c r="F148" s="6" t="n">
        <f aca="false">Sheet3_Dummy_Variables!E147</f>
        <v>0</v>
      </c>
      <c r="G148" s="6" t="n">
        <f aca="false">Sheet3_Dummy_Variables!F147</f>
        <v>0</v>
      </c>
    </row>
    <row r="149" customFormat="false" ht="15" hidden="false" customHeight="false" outlineLevel="0" collapsed="false">
      <c r="A149" s="6" t="n">
        <f aca="false">Sheet2_Cleaned_Data!E148</f>
        <v>50198.12</v>
      </c>
      <c r="B149" s="6" t="n">
        <f aca="false">Sheet2_Cleaned_Data!F148</f>
        <v>6089</v>
      </c>
      <c r="C149" s="6" t="n">
        <f aca="false">Sheet2_Cleaned_Data!G148</f>
        <v>0.182</v>
      </c>
      <c r="D149" s="6" t="n">
        <f aca="false">Sheet2_Cleaned_Data!I148</f>
        <v>94</v>
      </c>
      <c r="E149" s="6" t="n">
        <f aca="false">Sheet3_Dummy_Variables!D148</f>
        <v>0</v>
      </c>
      <c r="F149" s="6" t="n">
        <f aca="false">Sheet3_Dummy_Variables!E148</f>
        <v>0</v>
      </c>
      <c r="G149" s="6" t="n">
        <f aca="false">Sheet3_Dummy_Variables!F148</f>
        <v>0</v>
      </c>
    </row>
    <row r="150" customFormat="false" ht="15" hidden="false" customHeight="false" outlineLevel="0" collapsed="false">
      <c r="A150" s="6" t="n">
        <f aca="false">Sheet2_Cleaned_Data!E149</f>
        <v>70488.2</v>
      </c>
      <c r="B150" s="6" t="n">
        <f aca="false">Sheet2_Cleaned_Data!F149</f>
        <v>4312</v>
      </c>
      <c r="C150" s="6" t="n">
        <f aca="false">Sheet2_Cleaned_Data!G149</f>
        <v>0.169</v>
      </c>
      <c r="D150" s="6" t="n">
        <f aca="false">Sheet2_Cleaned_Data!I149</f>
        <v>90.2</v>
      </c>
      <c r="E150" s="6" t="n">
        <f aca="false">Sheet3_Dummy_Variables!D149</f>
        <v>0</v>
      </c>
      <c r="F150" s="6" t="n">
        <f aca="false">Sheet3_Dummy_Variables!E149</f>
        <v>0</v>
      </c>
      <c r="G150" s="6" t="n">
        <f aca="false">Sheet3_Dummy_Variables!F149</f>
        <v>1</v>
      </c>
    </row>
    <row r="151" customFormat="false" ht="15" hidden="false" customHeight="false" outlineLevel="0" collapsed="false">
      <c r="A151" s="6" t="n">
        <f aca="false">Sheet2_Cleaned_Data!E150</f>
        <v>50909.27</v>
      </c>
      <c r="B151" s="6" t="n">
        <f aca="false">Sheet2_Cleaned_Data!F150</f>
        <v>3152</v>
      </c>
      <c r="C151" s="6" t="n">
        <f aca="false">Sheet2_Cleaned_Data!G150</f>
        <v>0.06</v>
      </c>
      <c r="D151" s="6" t="n">
        <f aca="false">Sheet2_Cleaned_Data!I150</f>
        <v>93.7</v>
      </c>
      <c r="E151" s="6" t="n">
        <f aca="false">Sheet3_Dummy_Variables!D150</f>
        <v>0</v>
      </c>
      <c r="F151" s="6" t="n">
        <f aca="false">Sheet3_Dummy_Variables!E150</f>
        <v>0</v>
      </c>
      <c r="G151" s="6" t="n">
        <f aca="false">Sheet3_Dummy_Variables!F150</f>
        <v>1</v>
      </c>
    </row>
    <row r="152" customFormat="false" ht="15" hidden="false" customHeight="false" outlineLevel="0" collapsed="false">
      <c r="A152" s="6" t="n">
        <f aca="false">Sheet2_Cleaned_Data!E151</f>
        <v>53351.7</v>
      </c>
      <c r="B152" s="6" t="n">
        <f aca="false">Sheet2_Cleaned_Data!F151</f>
        <v>4259</v>
      </c>
      <c r="C152" s="6" t="n">
        <f aca="false">Sheet2_Cleaned_Data!G151</f>
        <v>0.156</v>
      </c>
      <c r="D152" s="6" t="n">
        <f aca="false">Sheet2_Cleaned_Data!I151</f>
        <v>93.7</v>
      </c>
      <c r="E152" s="6" t="n">
        <f aca="false">Sheet3_Dummy_Variables!D151</f>
        <v>0</v>
      </c>
      <c r="F152" s="6" t="n">
        <f aca="false">Sheet3_Dummy_Variables!E151</f>
        <v>0</v>
      </c>
      <c r="G152" s="6" t="n">
        <f aca="false">Sheet3_Dummy_Variables!F151</f>
        <v>1</v>
      </c>
    </row>
    <row r="153" customFormat="false" ht="15" hidden="false" customHeight="false" outlineLevel="0" collapsed="false">
      <c r="A153" s="6" t="n">
        <f aca="false">Sheet2_Cleaned_Data!E152</f>
        <v>60322.4</v>
      </c>
      <c r="B153" s="6" t="n">
        <f aca="false">Sheet2_Cleaned_Data!F152</f>
        <v>3350</v>
      </c>
      <c r="C153" s="6" t="n">
        <f aca="false">Sheet2_Cleaned_Data!G152</f>
        <v>0.108</v>
      </c>
      <c r="D153" s="6" t="n">
        <f aca="false">Sheet2_Cleaned_Data!I152</f>
        <v>89.4</v>
      </c>
      <c r="E153" s="6" t="n">
        <f aca="false">Sheet3_Dummy_Variables!D152</f>
        <v>0</v>
      </c>
      <c r="F153" s="6" t="n">
        <f aca="false">Sheet3_Dummy_Variables!E152</f>
        <v>0</v>
      </c>
      <c r="G153" s="6" t="n">
        <f aca="false">Sheet3_Dummy_Variables!F152</f>
        <v>1</v>
      </c>
    </row>
    <row r="154" customFormat="false" ht="15" hidden="false" customHeight="false" outlineLevel="0" collapsed="false">
      <c r="A154" s="6" t="n">
        <f aca="false">Sheet2_Cleaned_Data!E153</f>
        <v>51575.68</v>
      </c>
      <c r="B154" s="6" t="n">
        <f aca="false">Sheet2_Cleaned_Data!F153</f>
        <v>5329</v>
      </c>
      <c r="C154" s="6" t="n">
        <f aca="false">Sheet2_Cleaned_Data!G153</f>
        <v>0.047</v>
      </c>
      <c r="D154" s="6" t="n">
        <f aca="false">Sheet2_Cleaned_Data!I153</f>
        <v>88.1</v>
      </c>
      <c r="E154" s="6" t="n">
        <f aca="false">Sheet3_Dummy_Variables!D153</f>
        <v>0</v>
      </c>
      <c r="F154" s="6" t="n">
        <f aca="false">Sheet3_Dummy_Variables!E153</f>
        <v>1</v>
      </c>
      <c r="G154" s="6" t="n">
        <f aca="false">Sheet3_Dummy_Variables!F153</f>
        <v>0</v>
      </c>
    </row>
    <row r="155" customFormat="false" ht="15" hidden="false" customHeight="false" outlineLevel="0" collapsed="false">
      <c r="A155" s="6" t="n">
        <f aca="false">Sheet2_Cleaned_Data!E154</f>
        <v>43319.94</v>
      </c>
      <c r="B155" s="6" t="n">
        <f aca="false">Sheet2_Cleaned_Data!F154</f>
        <v>6551</v>
      </c>
      <c r="C155" s="6" t="n">
        <f aca="false">Sheet2_Cleaned_Data!G154</f>
        <v>0.044</v>
      </c>
      <c r="D155" s="6" t="n">
        <f aca="false">Sheet2_Cleaned_Data!I154</f>
        <v>99</v>
      </c>
      <c r="E155" s="6" t="n">
        <f aca="false">Sheet3_Dummy_Variables!D154</f>
        <v>0</v>
      </c>
      <c r="F155" s="6" t="n">
        <f aca="false">Sheet3_Dummy_Variables!E154</f>
        <v>1</v>
      </c>
      <c r="G155" s="6" t="n">
        <f aca="false">Sheet3_Dummy_Variables!F154</f>
        <v>0</v>
      </c>
    </row>
    <row r="156" customFormat="false" ht="15" hidden="false" customHeight="false" outlineLevel="0" collapsed="false">
      <c r="A156" s="6" t="n">
        <f aca="false">Sheet2_Cleaned_Data!E155</f>
        <v>47093.55</v>
      </c>
      <c r="B156" s="6" t="n">
        <f aca="false">Sheet2_Cleaned_Data!F155</f>
        <v>5550</v>
      </c>
      <c r="C156" s="6" t="n">
        <f aca="false">Sheet2_Cleaned_Data!G155</f>
        <v>0.1</v>
      </c>
      <c r="D156" s="6" t="n">
        <f aca="false">Sheet2_Cleaned_Data!I155</f>
        <v>95</v>
      </c>
      <c r="E156" s="6" t="n">
        <f aca="false">Sheet3_Dummy_Variables!D155</f>
        <v>0</v>
      </c>
      <c r="F156" s="6" t="n">
        <f aca="false">Sheet3_Dummy_Variables!E155</f>
        <v>1</v>
      </c>
      <c r="G156" s="6" t="n">
        <f aca="false">Sheet3_Dummy_Variables!F155</f>
        <v>0</v>
      </c>
    </row>
    <row r="157" customFormat="false" ht="15" hidden="false" customHeight="false" outlineLevel="0" collapsed="false">
      <c r="A157" s="6" t="n">
        <f aca="false">Sheet2_Cleaned_Data!E156</f>
        <v>71855.09</v>
      </c>
      <c r="B157" s="6" t="n">
        <f aca="false">Sheet2_Cleaned_Data!F156</f>
        <v>5911</v>
      </c>
      <c r="C157" s="6" t="n">
        <f aca="false">Sheet2_Cleaned_Data!G156</f>
        <v>0.197</v>
      </c>
      <c r="D157" s="6" t="n">
        <f aca="false">Sheet2_Cleaned_Data!I156</f>
        <v>94.3</v>
      </c>
      <c r="E157" s="6" t="n">
        <f aca="false">Sheet3_Dummy_Variables!D156</f>
        <v>0</v>
      </c>
      <c r="F157" s="6" t="n">
        <f aca="false">Sheet3_Dummy_Variables!E156</f>
        <v>1</v>
      </c>
      <c r="G157" s="6" t="n">
        <f aca="false">Sheet3_Dummy_Variables!F156</f>
        <v>0</v>
      </c>
    </row>
    <row r="158" customFormat="false" ht="15" hidden="false" customHeight="false" outlineLevel="0" collapsed="false">
      <c r="A158" s="6" t="n">
        <f aca="false">Sheet2_Cleaned_Data!E157</f>
        <v>75645.23</v>
      </c>
      <c r="B158" s="6" t="n">
        <f aca="false">Sheet2_Cleaned_Data!F157</f>
        <v>9674</v>
      </c>
      <c r="C158" s="6" t="n">
        <f aca="false">Sheet2_Cleaned_Data!G157</f>
        <v>0.234</v>
      </c>
      <c r="D158" s="6" t="n">
        <f aca="false">Sheet2_Cleaned_Data!I157</f>
        <v>87.4</v>
      </c>
      <c r="E158" s="6" t="n">
        <f aca="false">Sheet3_Dummy_Variables!D157</f>
        <v>0</v>
      </c>
      <c r="F158" s="6" t="n">
        <f aca="false">Sheet3_Dummy_Variables!E157</f>
        <v>0</v>
      </c>
      <c r="G158" s="6" t="n">
        <f aca="false">Sheet3_Dummy_Variables!F157</f>
        <v>0</v>
      </c>
    </row>
    <row r="159" customFormat="false" ht="15" hidden="false" customHeight="false" outlineLevel="0" collapsed="false">
      <c r="A159" s="6" t="n">
        <f aca="false">Sheet2_Cleaned_Data!E158</f>
        <v>64374.75</v>
      </c>
      <c r="B159" s="6" t="n">
        <f aca="false">Sheet2_Cleaned_Data!F158</f>
        <v>6740</v>
      </c>
      <c r="C159" s="6" t="n">
        <f aca="false">Sheet2_Cleaned_Data!G158</f>
        <v>0.169</v>
      </c>
      <c r="D159" s="6" t="n">
        <f aca="false">Sheet2_Cleaned_Data!I158</f>
        <v>87</v>
      </c>
      <c r="E159" s="6" t="n">
        <f aca="false">Sheet3_Dummy_Variables!D158</f>
        <v>0</v>
      </c>
      <c r="F159" s="6" t="n">
        <f aca="false">Sheet3_Dummy_Variables!E158</f>
        <v>0</v>
      </c>
      <c r="G159" s="6" t="n">
        <f aca="false">Sheet3_Dummy_Variables!F158</f>
        <v>0</v>
      </c>
    </row>
    <row r="160" customFormat="false" ht="15" hidden="false" customHeight="false" outlineLevel="0" collapsed="false">
      <c r="A160" s="6" t="n">
        <f aca="false">Sheet2_Cleaned_Data!E159</f>
        <v>61433.84</v>
      </c>
      <c r="B160" s="6" t="n">
        <f aca="false">Sheet2_Cleaned_Data!F159</f>
        <v>7745</v>
      </c>
      <c r="C160" s="6" t="n">
        <f aca="false">Sheet2_Cleaned_Data!G159</f>
        <v>0.18</v>
      </c>
      <c r="D160" s="6" t="n">
        <f aca="false">Sheet2_Cleaned_Data!I159</f>
        <v>90.5</v>
      </c>
      <c r="E160" s="6" t="n">
        <f aca="false">Sheet3_Dummy_Variables!D159</f>
        <v>0</v>
      </c>
      <c r="F160" s="6" t="n">
        <f aca="false">Sheet3_Dummy_Variables!E159</f>
        <v>0</v>
      </c>
      <c r="G160" s="6" t="n">
        <f aca="false">Sheet3_Dummy_Variables!F159</f>
        <v>0</v>
      </c>
    </row>
    <row r="161" customFormat="false" ht="15" hidden="false" customHeight="false" outlineLevel="0" collapsed="false">
      <c r="A161" s="6" t="n">
        <f aca="false">Sheet2_Cleaned_Data!E160</f>
        <v>42698.14</v>
      </c>
      <c r="B161" s="6" t="n">
        <f aca="false">Sheet2_Cleaned_Data!F160</f>
        <v>7693</v>
      </c>
      <c r="C161" s="6" t="n">
        <f aca="false">Sheet2_Cleaned_Data!G160</f>
        <v>0.187</v>
      </c>
      <c r="D161" s="6" t="n">
        <f aca="false">Sheet2_Cleaned_Data!I160</f>
        <v>90.1</v>
      </c>
      <c r="E161" s="6" t="n">
        <f aca="false">Sheet3_Dummy_Variables!D160</f>
        <v>0</v>
      </c>
      <c r="F161" s="6" t="n">
        <f aca="false">Sheet3_Dummy_Variables!E160</f>
        <v>0</v>
      </c>
      <c r="G161" s="6" t="n">
        <f aca="false">Sheet3_Dummy_Variables!F160</f>
        <v>0</v>
      </c>
    </row>
    <row r="162" customFormat="false" ht="15" hidden="false" customHeight="false" outlineLevel="0" collapsed="false">
      <c r="A162" s="6" t="n">
        <f aca="false">Sheet2_Cleaned_Data!E161</f>
        <v>86883.31</v>
      </c>
      <c r="B162" s="6" t="n">
        <f aca="false">Sheet2_Cleaned_Data!F161</f>
        <v>6424</v>
      </c>
      <c r="C162" s="6" t="n">
        <f aca="false">Sheet2_Cleaned_Data!G161</f>
        <v>0.057</v>
      </c>
      <c r="D162" s="6" t="n">
        <f aca="false">Sheet2_Cleaned_Data!I161</f>
        <v>85.2</v>
      </c>
      <c r="E162" s="6" t="n">
        <f aca="false">Sheet3_Dummy_Variables!D161</f>
        <v>0</v>
      </c>
      <c r="F162" s="6" t="n">
        <f aca="false">Sheet3_Dummy_Variables!E161</f>
        <v>1</v>
      </c>
      <c r="G162" s="6" t="n">
        <f aca="false">Sheet3_Dummy_Variables!F161</f>
        <v>0</v>
      </c>
    </row>
    <row r="163" customFormat="false" ht="15" hidden="false" customHeight="false" outlineLevel="0" collapsed="false">
      <c r="A163" s="6" t="n">
        <f aca="false">Sheet2_Cleaned_Data!E162</f>
        <v>41863.08</v>
      </c>
      <c r="B163" s="6" t="n">
        <f aca="false">Sheet2_Cleaned_Data!F162</f>
        <v>5400</v>
      </c>
      <c r="C163" s="6" t="n">
        <f aca="false">Sheet2_Cleaned_Data!G162</f>
        <v>0.114</v>
      </c>
      <c r="D163" s="6" t="n">
        <f aca="false">Sheet2_Cleaned_Data!I162</f>
        <v>91.6</v>
      </c>
      <c r="E163" s="6" t="n">
        <f aca="false">Sheet3_Dummy_Variables!D162</f>
        <v>0</v>
      </c>
      <c r="F163" s="6" t="n">
        <f aca="false">Sheet3_Dummy_Variables!E162</f>
        <v>1</v>
      </c>
      <c r="G163" s="6" t="n">
        <f aca="false">Sheet3_Dummy_Variables!F162</f>
        <v>0</v>
      </c>
    </row>
    <row r="164" customFormat="false" ht="15" hidden="false" customHeight="false" outlineLevel="0" collapsed="false">
      <c r="A164" s="6" t="n">
        <f aca="false">Sheet2_Cleaned_Data!E163</f>
        <v>56918.16</v>
      </c>
      <c r="B164" s="6" t="n">
        <f aca="false">Sheet2_Cleaned_Data!F163</f>
        <v>7015</v>
      </c>
      <c r="C164" s="6" t="n">
        <f aca="false">Sheet2_Cleaned_Data!G163</f>
        <v>0.158</v>
      </c>
      <c r="D164" s="6" t="n">
        <f aca="false">Sheet2_Cleaned_Data!I163</f>
        <v>74.2</v>
      </c>
      <c r="E164" s="6" t="n">
        <f aca="false">Sheet3_Dummy_Variables!D163</f>
        <v>0</v>
      </c>
      <c r="F164" s="6" t="n">
        <f aca="false">Sheet3_Dummy_Variables!E163</f>
        <v>1</v>
      </c>
      <c r="G164" s="6" t="n">
        <f aca="false">Sheet3_Dummy_Variables!F163</f>
        <v>0</v>
      </c>
    </row>
    <row r="165" customFormat="false" ht="15" hidden="false" customHeight="false" outlineLevel="0" collapsed="false">
      <c r="A165" s="6" t="n">
        <f aca="false">Sheet2_Cleaned_Data!E164</f>
        <v>23254.57</v>
      </c>
      <c r="B165" s="6" t="n">
        <f aca="false">Sheet2_Cleaned_Data!F164</f>
        <v>3847</v>
      </c>
      <c r="C165" s="6" t="n">
        <f aca="false">Sheet2_Cleaned_Data!G164</f>
        <v>0.159</v>
      </c>
      <c r="D165" s="6" t="n">
        <f aca="false">Sheet2_Cleaned_Data!I164</f>
        <v>93</v>
      </c>
      <c r="E165" s="6" t="n">
        <f aca="false">Sheet3_Dummy_Variables!D164</f>
        <v>0</v>
      </c>
      <c r="F165" s="6" t="n">
        <f aca="false">Sheet3_Dummy_Variables!E164</f>
        <v>1</v>
      </c>
      <c r="G165" s="6" t="n">
        <f aca="false">Sheet3_Dummy_Variables!F164</f>
        <v>0</v>
      </c>
    </row>
    <row r="166" customFormat="false" ht="15" hidden="false" customHeight="false" outlineLevel="0" collapsed="false">
      <c r="A166" s="6" t="n">
        <f aca="false">Sheet2_Cleaned_Data!E165</f>
        <v>41443.41</v>
      </c>
      <c r="B166" s="6" t="n">
        <f aca="false">Sheet2_Cleaned_Data!F165</f>
        <v>7455</v>
      </c>
      <c r="C166" s="6" t="n">
        <f aca="false">Sheet2_Cleaned_Data!G165</f>
        <v>0.175</v>
      </c>
      <c r="D166" s="6" t="n">
        <f aca="false">Sheet2_Cleaned_Data!I165</f>
        <v>90.1</v>
      </c>
      <c r="E166" s="6" t="n">
        <f aca="false">Sheet3_Dummy_Variables!D165</f>
        <v>0</v>
      </c>
      <c r="F166" s="6" t="n">
        <f aca="false">Sheet3_Dummy_Variables!E165</f>
        <v>0</v>
      </c>
      <c r="G166" s="6" t="n">
        <f aca="false">Sheet3_Dummy_Variables!F165</f>
        <v>0</v>
      </c>
    </row>
    <row r="167" customFormat="false" ht="15" hidden="false" customHeight="false" outlineLevel="0" collapsed="false">
      <c r="A167" s="6" t="n">
        <f aca="false">Sheet2_Cleaned_Data!E166</f>
        <v>48438.85</v>
      </c>
      <c r="B167" s="6" t="n">
        <f aca="false">Sheet2_Cleaned_Data!F166</f>
        <v>6992</v>
      </c>
      <c r="C167" s="6" t="n">
        <f aca="false">Sheet2_Cleaned_Data!G166</f>
        <v>0.034</v>
      </c>
      <c r="D167" s="6" t="n">
        <f aca="false">Sheet2_Cleaned_Data!I166</f>
        <v>91</v>
      </c>
      <c r="E167" s="6" t="n">
        <f aca="false">Sheet3_Dummy_Variables!D166</f>
        <v>0</v>
      </c>
      <c r="F167" s="6" t="n">
        <f aca="false">Sheet3_Dummy_Variables!E166</f>
        <v>0</v>
      </c>
      <c r="G167" s="6" t="n">
        <f aca="false">Sheet3_Dummy_Variables!F166</f>
        <v>0</v>
      </c>
    </row>
    <row r="168" customFormat="false" ht="15" hidden="false" customHeight="false" outlineLevel="0" collapsed="false">
      <c r="A168" s="6" t="n">
        <f aca="false">Sheet2_Cleaned_Data!E167</f>
        <v>57143.3</v>
      </c>
      <c r="B168" s="6" t="n">
        <f aca="false">Sheet2_Cleaned_Data!F167</f>
        <v>8038</v>
      </c>
      <c r="C168" s="6" t="n">
        <f aca="false">Sheet2_Cleaned_Data!G167</f>
        <v>0.193</v>
      </c>
      <c r="D168" s="6" t="n">
        <f aca="false">Sheet2_Cleaned_Data!I167</f>
        <v>72.6</v>
      </c>
      <c r="E168" s="6" t="n">
        <f aca="false">Sheet3_Dummy_Variables!D167</f>
        <v>0</v>
      </c>
      <c r="F168" s="6" t="n">
        <f aca="false">Sheet3_Dummy_Variables!E167</f>
        <v>0</v>
      </c>
      <c r="G168" s="6" t="n">
        <f aca="false">Sheet3_Dummy_Variables!F167</f>
        <v>0</v>
      </c>
    </row>
    <row r="169" customFormat="false" ht="15" hidden="false" customHeight="false" outlineLevel="0" collapsed="false">
      <c r="A169" s="6" t="n">
        <f aca="false">Sheet2_Cleaned_Data!E168</f>
        <v>66870.62</v>
      </c>
      <c r="B169" s="6" t="n">
        <f aca="false">Sheet2_Cleaned_Data!F168</f>
        <v>6055</v>
      </c>
      <c r="C169" s="6" t="n">
        <f aca="false">Sheet2_Cleaned_Data!G168</f>
        <v>0.075</v>
      </c>
      <c r="D169" s="6" t="n">
        <f aca="false">Sheet2_Cleaned_Data!I168</f>
        <v>93.8</v>
      </c>
      <c r="E169" s="6" t="n">
        <f aca="false">Sheet3_Dummy_Variables!D168</f>
        <v>0</v>
      </c>
      <c r="F169" s="6" t="n">
        <f aca="false">Sheet3_Dummy_Variables!E168</f>
        <v>0</v>
      </c>
      <c r="G169" s="6" t="n">
        <f aca="false">Sheet3_Dummy_Variables!F168</f>
        <v>0</v>
      </c>
    </row>
    <row r="170" customFormat="false" ht="15" hidden="false" customHeight="false" outlineLevel="0" collapsed="false">
      <c r="A170" s="6" t="n">
        <f aca="false">Sheet2_Cleaned_Data!E169</f>
        <v>72150.53</v>
      </c>
      <c r="B170" s="6" t="n">
        <f aca="false">Sheet2_Cleaned_Data!F169</f>
        <v>9323</v>
      </c>
      <c r="C170" s="6" t="n">
        <f aca="false">Sheet2_Cleaned_Data!G169</f>
        <v>0.157</v>
      </c>
      <c r="D170" s="6" t="n">
        <f aca="false">Sheet2_Cleaned_Data!I169</f>
        <v>82.9</v>
      </c>
      <c r="E170" s="6" t="n">
        <f aca="false">Sheet3_Dummy_Variables!D169</f>
        <v>0</v>
      </c>
      <c r="F170" s="6" t="n">
        <f aca="false">Sheet3_Dummy_Variables!E169</f>
        <v>1</v>
      </c>
      <c r="G170" s="6" t="n">
        <f aca="false">Sheet3_Dummy_Variables!F169</f>
        <v>0</v>
      </c>
    </row>
    <row r="171" customFormat="false" ht="15" hidden="false" customHeight="false" outlineLevel="0" collapsed="false">
      <c r="A171" s="6" t="n">
        <f aca="false">Sheet2_Cleaned_Data!E170</f>
        <v>35303.3</v>
      </c>
      <c r="B171" s="6" t="n">
        <f aca="false">Sheet2_Cleaned_Data!F170</f>
        <v>8789</v>
      </c>
      <c r="C171" s="6" t="n">
        <f aca="false">Sheet2_Cleaned_Data!G170</f>
        <v>0.123</v>
      </c>
      <c r="D171" s="6" t="n">
        <f aca="false">Sheet2_Cleaned_Data!I170</f>
        <v>86.1</v>
      </c>
      <c r="E171" s="6" t="n">
        <f aca="false">Sheet3_Dummy_Variables!D170</f>
        <v>0</v>
      </c>
      <c r="F171" s="6" t="n">
        <f aca="false">Sheet3_Dummy_Variables!E170</f>
        <v>1</v>
      </c>
      <c r="G171" s="6" t="n">
        <f aca="false">Sheet3_Dummy_Variables!F170</f>
        <v>0</v>
      </c>
    </row>
    <row r="172" customFormat="false" ht="15" hidden="false" customHeight="false" outlineLevel="0" collapsed="false">
      <c r="A172" s="6" t="n">
        <f aca="false">Sheet2_Cleaned_Data!E171</f>
        <v>30301.86</v>
      </c>
      <c r="B172" s="6" t="n">
        <f aca="false">Sheet2_Cleaned_Data!F171</f>
        <v>6939</v>
      </c>
      <c r="C172" s="6" t="n">
        <f aca="false">Sheet2_Cleaned_Data!G171</f>
        <v>0.09</v>
      </c>
      <c r="D172" s="6" t="n">
        <f aca="false">Sheet2_Cleaned_Data!I171</f>
        <v>90.3</v>
      </c>
      <c r="E172" s="6" t="n">
        <f aca="false">Sheet3_Dummy_Variables!D171</f>
        <v>0</v>
      </c>
      <c r="F172" s="6" t="n">
        <f aca="false">Sheet3_Dummy_Variables!E171</f>
        <v>1</v>
      </c>
      <c r="G172" s="6" t="n">
        <f aca="false">Sheet3_Dummy_Variables!F171</f>
        <v>0</v>
      </c>
    </row>
    <row r="173" customFormat="false" ht="15" hidden="false" customHeight="false" outlineLevel="0" collapsed="false">
      <c r="A173" s="6" t="n">
        <f aca="false">Sheet2_Cleaned_Data!E172</f>
        <v>78432.14</v>
      </c>
      <c r="B173" s="6" t="n">
        <f aca="false">Sheet2_Cleaned_Data!F172</f>
        <v>9440</v>
      </c>
      <c r="C173" s="6" t="n">
        <f aca="false">Sheet2_Cleaned_Data!G172</f>
        <v>0.126</v>
      </c>
      <c r="D173" s="6" t="n">
        <f aca="false">Sheet2_Cleaned_Data!I172</f>
        <v>89.2</v>
      </c>
      <c r="E173" s="6" t="n">
        <f aca="false">Sheet3_Dummy_Variables!D172</f>
        <v>0</v>
      </c>
      <c r="F173" s="6" t="n">
        <f aca="false">Sheet3_Dummy_Variables!E172</f>
        <v>1</v>
      </c>
      <c r="G173" s="6" t="n">
        <f aca="false">Sheet3_Dummy_Variables!F172</f>
        <v>0</v>
      </c>
    </row>
    <row r="174" customFormat="false" ht="15" hidden="false" customHeight="false" outlineLevel="0" collapsed="false">
      <c r="A174" s="6" t="n">
        <f aca="false">Sheet2_Cleaned_Data!E173</f>
        <v>62059.18</v>
      </c>
      <c r="B174" s="6" t="n">
        <f aca="false">Sheet2_Cleaned_Data!F173</f>
        <v>9374</v>
      </c>
      <c r="C174" s="6" t="n">
        <f aca="false">Sheet2_Cleaned_Data!G173</f>
        <v>0.136</v>
      </c>
      <c r="D174" s="6" t="n">
        <f aca="false">Sheet2_Cleaned_Data!I173</f>
        <v>87.1</v>
      </c>
      <c r="E174" s="6" t="n">
        <f aca="false">Sheet3_Dummy_Variables!D173</f>
        <v>0</v>
      </c>
      <c r="F174" s="6" t="n">
        <f aca="false">Sheet3_Dummy_Variables!E173</f>
        <v>0</v>
      </c>
      <c r="G174" s="6" t="n">
        <f aca="false">Sheet3_Dummy_Variables!F173</f>
        <v>1</v>
      </c>
    </row>
    <row r="175" customFormat="false" ht="15" hidden="false" customHeight="false" outlineLevel="0" collapsed="false">
      <c r="A175" s="6" t="n">
        <f aca="false">Sheet2_Cleaned_Data!E174</f>
        <v>32834.48</v>
      </c>
      <c r="B175" s="6" t="n">
        <f aca="false">Sheet2_Cleaned_Data!F174</f>
        <v>7576</v>
      </c>
      <c r="C175" s="6" t="n">
        <f aca="false">Sheet2_Cleaned_Data!G174</f>
        <v>0.099</v>
      </c>
      <c r="D175" s="6" t="n">
        <f aca="false">Sheet2_Cleaned_Data!I174</f>
        <v>84.1</v>
      </c>
      <c r="E175" s="6" t="n">
        <f aca="false">Sheet3_Dummy_Variables!D174</f>
        <v>0</v>
      </c>
      <c r="F175" s="6" t="n">
        <f aca="false">Sheet3_Dummy_Variables!E174</f>
        <v>0</v>
      </c>
      <c r="G175" s="6" t="n">
        <f aca="false">Sheet3_Dummy_Variables!F174</f>
        <v>1</v>
      </c>
    </row>
    <row r="176" customFormat="false" ht="15" hidden="false" customHeight="false" outlineLevel="0" collapsed="false">
      <c r="A176" s="6" t="n">
        <f aca="false">Sheet2_Cleaned_Data!E175</f>
        <v>50825.08</v>
      </c>
      <c r="B176" s="6" t="n">
        <f aca="false">Sheet2_Cleaned_Data!F175</f>
        <v>8949</v>
      </c>
      <c r="C176" s="6" t="n">
        <f aca="false">Sheet2_Cleaned_Data!G175</f>
        <v>0.157</v>
      </c>
      <c r="D176" s="6" t="n">
        <f aca="false">Sheet2_Cleaned_Data!I175</f>
        <v>84.7</v>
      </c>
      <c r="E176" s="6" t="n">
        <f aca="false">Sheet3_Dummy_Variables!D175</f>
        <v>0</v>
      </c>
      <c r="F176" s="6" t="n">
        <f aca="false">Sheet3_Dummy_Variables!E175</f>
        <v>0</v>
      </c>
      <c r="G176" s="6" t="n">
        <f aca="false">Sheet3_Dummy_Variables!F175</f>
        <v>1</v>
      </c>
    </row>
    <row r="177" customFormat="false" ht="15" hidden="false" customHeight="false" outlineLevel="0" collapsed="false">
      <c r="A177" s="6" t="n">
        <f aca="false">Sheet2_Cleaned_Data!E176</f>
        <v>36606.51</v>
      </c>
      <c r="B177" s="6" t="n">
        <f aca="false">Sheet2_Cleaned_Data!F176</f>
        <v>7671</v>
      </c>
      <c r="C177" s="6" t="n">
        <f aca="false">Sheet2_Cleaned_Data!G176</f>
        <v>0.118</v>
      </c>
      <c r="D177" s="6" t="n">
        <f aca="false">Sheet2_Cleaned_Data!I176</f>
        <v>89.8</v>
      </c>
      <c r="E177" s="6" t="n">
        <f aca="false">Sheet3_Dummy_Variables!D176</f>
        <v>0</v>
      </c>
      <c r="F177" s="6" t="n">
        <f aca="false">Sheet3_Dummy_Variables!E176</f>
        <v>0</v>
      </c>
      <c r="G177" s="6" t="n">
        <f aca="false">Sheet3_Dummy_Variables!F176</f>
        <v>1</v>
      </c>
    </row>
    <row r="178" customFormat="false" ht="15" hidden="false" customHeight="false" outlineLevel="0" collapsed="false">
      <c r="A178" s="6" t="n">
        <f aca="false">Sheet2_Cleaned_Data!E177</f>
        <v>65237.79</v>
      </c>
      <c r="B178" s="6" t="n">
        <f aca="false">Sheet2_Cleaned_Data!F177</f>
        <v>8741</v>
      </c>
      <c r="C178" s="6" t="n">
        <f aca="false">Sheet2_Cleaned_Data!G177</f>
        <v>0.157</v>
      </c>
      <c r="D178" s="6" t="n">
        <f aca="false">Sheet2_Cleaned_Data!I177</f>
        <v>94.4</v>
      </c>
      <c r="E178" s="6" t="n">
        <f aca="false">Sheet3_Dummy_Variables!D177</f>
        <v>0</v>
      </c>
      <c r="F178" s="6" t="n">
        <f aca="false">Sheet3_Dummy_Variables!E177</f>
        <v>0</v>
      </c>
      <c r="G178" s="6" t="n">
        <f aca="false">Sheet3_Dummy_Variables!F177</f>
        <v>1</v>
      </c>
    </row>
    <row r="179" customFormat="false" ht="15" hidden="false" customHeight="false" outlineLevel="0" collapsed="false">
      <c r="A179" s="6" t="n">
        <f aca="false">Sheet2_Cleaned_Data!E178</f>
        <v>43645.98</v>
      </c>
      <c r="B179" s="6" t="n">
        <f aca="false">Sheet2_Cleaned_Data!F178</f>
        <v>9480</v>
      </c>
      <c r="C179" s="6" t="n">
        <f aca="false">Sheet2_Cleaned_Data!G178</f>
        <v>0.109</v>
      </c>
      <c r="D179" s="6" t="n">
        <f aca="false">Sheet2_Cleaned_Data!I178</f>
        <v>89</v>
      </c>
      <c r="E179" s="6" t="n">
        <f aca="false">Sheet3_Dummy_Variables!D178</f>
        <v>0</v>
      </c>
      <c r="F179" s="6" t="n">
        <f aca="false">Sheet3_Dummy_Variables!E178</f>
        <v>0</v>
      </c>
      <c r="G179" s="6" t="n">
        <f aca="false">Sheet3_Dummy_Variables!F178</f>
        <v>1</v>
      </c>
    </row>
    <row r="180" customFormat="false" ht="15" hidden="false" customHeight="false" outlineLevel="0" collapsed="false">
      <c r="A180" s="6" t="n">
        <f aca="false">Sheet2_Cleaned_Data!E179</f>
        <v>68040.15</v>
      </c>
      <c r="B180" s="6" t="n">
        <f aca="false">Sheet2_Cleaned_Data!F179</f>
        <v>9826</v>
      </c>
      <c r="C180" s="6" t="n">
        <f aca="false">Sheet2_Cleaned_Data!G179</f>
        <v>0.125</v>
      </c>
      <c r="D180" s="6" t="n">
        <f aca="false">Sheet2_Cleaned_Data!I179</f>
        <v>83.9</v>
      </c>
      <c r="E180" s="6" t="n">
        <f aca="false">Sheet3_Dummy_Variables!D179</f>
        <v>0</v>
      </c>
      <c r="F180" s="6" t="n">
        <f aca="false">Sheet3_Dummy_Variables!E179</f>
        <v>0</v>
      </c>
      <c r="G180" s="6" t="n">
        <f aca="false">Sheet3_Dummy_Variables!F179</f>
        <v>1</v>
      </c>
    </row>
    <row r="181" customFormat="false" ht="15" hidden="false" customHeight="false" outlineLevel="0" collapsed="false">
      <c r="A181" s="6" t="n">
        <f aca="false">Sheet2_Cleaned_Data!E180</f>
        <v>63043.94</v>
      </c>
      <c r="B181" s="6" t="n">
        <f aca="false">Sheet2_Cleaned_Data!F180</f>
        <v>10402</v>
      </c>
      <c r="C181" s="6" t="n">
        <f aca="false">Sheet2_Cleaned_Data!G180</f>
        <v>0.159</v>
      </c>
      <c r="D181" s="6" t="n">
        <f aca="false">Sheet2_Cleaned_Data!I180</f>
        <v>93.9</v>
      </c>
      <c r="E181" s="6" t="n">
        <f aca="false">Sheet3_Dummy_Variables!D180</f>
        <v>0</v>
      </c>
      <c r="F181" s="6" t="n">
        <f aca="false">Sheet3_Dummy_Variables!E180</f>
        <v>0</v>
      </c>
      <c r="G181" s="6" t="n">
        <f aca="false">Sheet3_Dummy_Variables!F180</f>
        <v>1</v>
      </c>
    </row>
    <row r="182" customFormat="false" ht="15" hidden="false" customHeight="false" outlineLevel="0" collapsed="false">
      <c r="A182" s="6" t="n">
        <f aca="false">Sheet2_Cleaned_Data!E181</f>
        <v>67494.09</v>
      </c>
      <c r="B182" s="6" t="n">
        <f aca="false">Sheet2_Cleaned_Data!F181</f>
        <v>12361</v>
      </c>
      <c r="C182" s="6" t="n">
        <f aca="false">Sheet2_Cleaned_Data!G181</f>
        <v>0.046</v>
      </c>
      <c r="D182" s="6" t="n">
        <f aca="false">Sheet2_Cleaned_Data!I181</f>
        <v>76.6</v>
      </c>
      <c r="E182" s="6" t="n">
        <f aca="false">Sheet3_Dummy_Variables!D181</f>
        <v>1</v>
      </c>
      <c r="F182" s="6" t="n">
        <f aca="false">Sheet3_Dummy_Variables!E181</f>
        <v>0</v>
      </c>
      <c r="G182" s="6" t="n">
        <f aca="false">Sheet3_Dummy_Variables!F181</f>
        <v>0</v>
      </c>
    </row>
    <row r="183" customFormat="false" ht="15" hidden="false" customHeight="false" outlineLevel="0" collapsed="false">
      <c r="A183" s="6" t="n">
        <f aca="false">Sheet2_Cleaned_Data!E182</f>
        <v>29389.32</v>
      </c>
      <c r="B183" s="6" t="n">
        <f aca="false">Sheet2_Cleaned_Data!F182</f>
        <v>7925</v>
      </c>
      <c r="C183" s="6" t="n">
        <f aca="false">Sheet2_Cleaned_Data!G182</f>
        <v>0.177</v>
      </c>
      <c r="D183" s="6" t="n">
        <f aca="false">Sheet2_Cleaned_Data!I182</f>
        <v>90.9</v>
      </c>
      <c r="E183" s="6" t="n">
        <f aca="false">Sheet3_Dummy_Variables!D182</f>
        <v>1</v>
      </c>
      <c r="F183" s="6" t="n">
        <f aca="false">Sheet3_Dummy_Variables!E182</f>
        <v>0</v>
      </c>
      <c r="G183" s="6" t="n">
        <f aca="false">Sheet3_Dummy_Variables!F182</f>
        <v>0</v>
      </c>
    </row>
    <row r="184" customFormat="false" ht="15" hidden="false" customHeight="false" outlineLevel="0" collapsed="false">
      <c r="A184" s="6" t="n">
        <f aca="false">Sheet2_Cleaned_Data!E183</f>
        <v>40535.09</v>
      </c>
      <c r="B184" s="6" t="n">
        <f aca="false">Sheet2_Cleaned_Data!F183</f>
        <v>8870</v>
      </c>
      <c r="C184" s="6" t="n">
        <f aca="false">Sheet2_Cleaned_Data!G183</f>
        <v>0.041</v>
      </c>
      <c r="D184" s="6" t="n">
        <f aca="false">Sheet2_Cleaned_Data!I183</f>
        <v>86.6</v>
      </c>
      <c r="E184" s="6" t="n">
        <f aca="false">Sheet3_Dummy_Variables!D183</f>
        <v>1</v>
      </c>
      <c r="F184" s="6" t="n">
        <f aca="false">Sheet3_Dummy_Variables!E183</f>
        <v>0</v>
      </c>
      <c r="G184" s="6" t="n">
        <f aca="false">Sheet3_Dummy_Variables!F183</f>
        <v>0</v>
      </c>
    </row>
    <row r="185" customFormat="false" ht="15" hidden="false" customHeight="false" outlineLevel="0" collapsed="false">
      <c r="A185" s="6" t="n">
        <f aca="false">Sheet2_Cleaned_Data!E184</f>
        <v>74881.56</v>
      </c>
      <c r="B185" s="6" t="n">
        <f aca="false">Sheet2_Cleaned_Data!F184</f>
        <v>9999</v>
      </c>
      <c r="C185" s="6" t="n">
        <f aca="false">Sheet2_Cleaned_Data!G184</f>
        <v>0.013</v>
      </c>
      <c r="D185" s="6" t="n">
        <f aca="false">Sheet2_Cleaned_Data!I184</f>
        <v>89.6</v>
      </c>
      <c r="E185" s="6" t="n">
        <f aca="false">Sheet3_Dummy_Variables!D184</f>
        <v>1</v>
      </c>
      <c r="F185" s="6" t="n">
        <f aca="false">Sheet3_Dummy_Variables!E184</f>
        <v>0</v>
      </c>
      <c r="G185" s="6" t="n">
        <f aca="false">Sheet3_Dummy_Variables!F184</f>
        <v>0</v>
      </c>
    </row>
    <row r="186" customFormat="false" ht="15" hidden="false" customHeight="false" outlineLevel="0" collapsed="false">
      <c r="A186" s="6" t="n">
        <f aca="false">Sheet2_Cleaned_Data!E185</f>
        <v>68491.11</v>
      </c>
      <c r="B186" s="6" t="n">
        <f aca="false">Sheet2_Cleaned_Data!F185</f>
        <v>11154</v>
      </c>
      <c r="C186" s="6" t="n">
        <f aca="false">Sheet2_Cleaned_Data!G185</f>
        <v>0.001</v>
      </c>
      <c r="D186" s="6" t="n">
        <f aca="false">Sheet2_Cleaned_Data!I185</f>
        <v>89.4</v>
      </c>
      <c r="E186" s="6" t="n">
        <f aca="false">Sheet3_Dummy_Variables!D185</f>
        <v>0</v>
      </c>
      <c r="F186" s="6" t="n">
        <f aca="false">Sheet3_Dummy_Variables!E185</f>
        <v>0</v>
      </c>
      <c r="G186" s="6" t="n">
        <f aca="false">Sheet3_Dummy_Variables!F185</f>
        <v>1</v>
      </c>
    </row>
    <row r="187" customFormat="false" ht="15" hidden="false" customHeight="false" outlineLevel="0" collapsed="false">
      <c r="A187" s="6" t="n">
        <f aca="false">Sheet2_Cleaned_Data!E186</f>
        <v>45209.25</v>
      </c>
      <c r="B187" s="6" t="n">
        <f aca="false">Sheet2_Cleaned_Data!F186</f>
        <v>9287</v>
      </c>
      <c r="C187" s="6" t="n">
        <f aca="false">Sheet2_Cleaned_Data!G186</f>
        <v>0.141</v>
      </c>
      <c r="D187" s="6" t="n">
        <f aca="false">Sheet2_Cleaned_Data!I186</f>
        <v>86.4</v>
      </c>
      <c r="E187" s="6" t="n">
        <f aca="false">Sheet3_Dummy_Variables!D186</f>
        <v>0</v>
      </c>
      <c r="F187" s="6" t="n">
        <f aca="false">Sheet3_Dummy_Variables!E186</f>
        <v>0</v>
      </c>
      <c r="G187" s="6" t="n">
        <f aca="false">Sheet3_Dummy_Variables!F186</f>
        <v>1</v>
      </c>
    </row>
    <row r="188" customFormat="false" ht="15" hidden="false" customHeight="false" outlineLevel="0" collapsed="false">
      <c r="A188" s="6" t="n">
        <f aca="false">Sheet2_Cleaned_Data!E187</f>
        <v>63010.23</v>
      </c>
      <c r="B188" s="6" t="n">
        <f aca="false">Sheet2_Cleaned_Data!F187</f>
        <v>9812</v>
      </c>
      <c r="C188" s="6" t="n">
        <f aca="false">Sheet2_Cleaned_Data!G187</f>
        <v>0.113</v>
      </c>
      <c r="D188" s="6" t="n">
        <f aca="false">Sheet2_Cleaned_Data!I187</f>
        <v>76.8</v>
      </c>
      <c r="E188" s="6" t="n">
        <f aca="false">Sheet3_Dummy_Variables!D187</f>
        <v>0</v>
      </c>
      <c r="F188" s="6" t="n">
        <f aca="false">Sheet3_Dummy_Variables!E187</f>
        <v>0</v>
      </c>
      <c r="G188" s="6" t="n">
        <f aca="false">Sheet3_Dummy_Variables!F187</f>
        <v>1</v>
      </c>
    </row>
    <row r="189" customFormat="false" ht="15" hidden="false" customHeight="false" outlineLevel="0" collapsed="false">
      <c r="A189" s="6" t="n">
        <f aca="false">Sheet2_Cleaned_Data!E188</f>
        <v>57948.88</v>
      </c>
      <c r="B189" s="6" t="n">
        <f aca="false">Sheet2_Cleaned_Data!F188</f>
        <v>10741</v>
      </c>
      <c r="C189" s="6" t="n">
        <f aca="false">Sheet2_Cleaned_Data!G188</f>
        <v>0.07</v>
      </c>
      <c r="D189" s="6" t="n">
        <f aca="false">Sheet2_Cleaned_Data!I188</f>
        <v>90.1</v>
      </c>
      <c r="E189" s="6" t="n">
        <f aca="false">Sheet3_Dummy_Variables!D188</f>
        <v>0</v>
      </c>
      <c r="F189" s="6" t="n">
        <f aca="false">Sheet3_Dummy_Variables!E188</f>
        <v>0</v>
      </c>
      <c r="G189" s="6" t="n">
        <f aca="false">Sheet3_Dummy_Variables!F188</f>
        <v>1</v>
      </c>
    </row>
    <row r="190" customFormat="false" ht="15" hidden="false" customHeight="false" outlineLevel="0" collapsed="false">
      <c r="A190" s="6" t="n">
        <f aca="false">Sheet2_Cleaned_Data!E189</f>
        <v>71941.62</v>
      </c>
      <c r="B190" s="6" t="n">
        <f aca="false">Sheet2_Cleaned_Data!F189</f>
        <v>6084</v>
      </c>
      <c r="C190" s="6" t="n">
        <f aca="false">Sheet2_Cleaned_Data!G189</f>
        <v>0.072</v>
      </c>
      <c r="D190" s="6" t="n">
        <f aca="false">Sheet2_Cleaned_Data!I189</f>
        <v>93.7</v>
      </c>
      <c r="E190" s="6" t="n">
        <f aca="false">Sheet3_Dummy_Variables!D189</f>
        <v>0</v>
      </c>
      <c r="F190" s="6" t="n">
        <f aca="false">Sheet3_Dummy_Variables!E189</f>
        <v>0</v>
      </c>
      <c r="G190" s="6" t="n">
        <f aca="false">Sheet3_Dummy_Variables!F189</f>
        <v>0</v>
      </c>
    </row>
    <row r="191" customFormat="false" ht="15" hidden="false" customHeight="false" outlineLevel="0" collapsed="false">
      <c r="A191" s="6" t="n">
        <f aca="false">Sheet2_Cleaned_Data!E190</f>
        <v>57147.88</v>
      </c>
      <c r="B191" s="6" t="n">
        <f aca="false">Sheet2_Cleaned_Data!F190</f>
        <v>5252</v>
      </c>
      <c r="C191" s="6" t="n">
        <f aca="false">Sheet2_Cleaned_Data!G190</f>
        <v>0.161</v>
      </c>
      <c r="D191" s="6" t="n">
        <f aca="false">Sheet2_Cleaned_Data!I190</f>
        <v>95.5</v>
      </c>
      <c r="E191" s="6" t="n">
        <f aca="false">Sheet3_Dummy_Variables!D190</f>
        <v>0</v>
      </c>
      <c r="F191" s="6" t="n">
        <f aca="false">Sheet3_Dummy_Variables!E190</f>
        <v>0</v>
      </c>
      <c r="G191" s="6" t="n">
        <f aca="false">Sheet3_Dummy_Variables!F190</f>
        <v>0</v>
      </c>
    </row>
    <row r="192" customFormat="false" ht="15" hidden="false" customHeight="false" outlineLevel="0" collapsed="false">
      <c r="A192" s="6" t="n">
        <f aca="false">Sheet2_Cleaned_Data!E191</f>
        <v>48031.74</v>
      </c>
      <c r="B192" s="6" t="n">
        <f aca="false">Sheet2_Cleaned_Data!F191</f>
        <v>6516</v>
      </c>
      <c r="C192" s="6" t="n">
        <f aca="false">Sheet2_Cleaned_Data!G191</f>
        <v>0.067</v>
      </c>
      <c r="D192" s="6" t="n">
        <f aca="false">Sheet2_Cleaned_Data!I191</f>
        <v>99</v>
      </c>
      <c r="E192" s="6" t="n">
        <f aca="false">Sheet3_Dummy_Variables!D191</f>
        <v>0</v>
      </c>
      <c r="F192" s="6" t="n">
        <f aca="false">Sheet3_Dummy_Variables!E191</f>
        <v>0</v>
      </c>
      <c r="G192" s="6" t="n">
        <f aca="false">Sheet3_Dummy_Variables!F191</f>
        <v>0</v>
      </c>
    </row>
    <row r="193" customFormat="false" ht="15" hidden="false" customHeight="false" outlineLevel="0" collapsed="false">
      <c r="A193" s="6" t="n">
        <f aca="false">Sheet2_Cleaned_Data!E192</f>
        <v>72784.8</v>
      </c>
      <c r="B193" s="6" t="n">
        <f aca="false">Sheet2_Cleaned_Data!F192</f>
        <v>7932</v>
      </c>
      <c r="C193" s="6" t="n">
        <f aca="false">Sheet2_Cleaned_Data!G192</f>
        <v>0.094</v>
      </c>
      <c r="D193" s="6" t="n">
        <f aca="false">Sheet2_Cleaned_Data!I192</f>
        <v>74.9</v>
      </c>
      <c r="E193" s="6" t="n">
        <f aca="false">Sheet3_Dummy_Variables!D192</f>
        <v>0</v>
      </c>
      <c r="F193" s="6" t="n">
        <f aca="false">Sheet3_Dummy_Variables!E192</f>
        <v>0</v>
      </c>
      <c r="G193" s="6" t="n">
        <f aca="false">Sheet3_Dummy_Variables!F192</f>
        <v>0</v>
      </c>
    </row>
    <row r="194" customFormat="false" ht="15" hidden="false" customHeight="false" outlineLevel="0" collapsed="false">
      <c r="A194" s="6" t="n">
        <f aca="false">Sheet2_Cleaned_Data!E193</f>
        <v>71641.9</v>
      </c>
      <c r="B194" s="6" t="n">
        <f aca="false">Sheet2_Cleaned_Data!F193</f>
        <v>3506</v>
      </c>
      <c r="C194" s="6" t="n">
        <f aca="false">Sheet2_Cleaned_Data!G193</f>
        <v>0</v>
      </c>
      <c r="D194" s="6" t="n">
        <f aca="false">Sheet2_Cleaned_Data!I193</f>
        <v>86.4</v>
      </c>
      <c r="E194" s="6" t="n">
        <f aca="false">Sheet3_Dummy_Variables!D193</f>
        <v>0</v>
      </c>
      <c r="F194" s="6" t="n">
        <f aca="false">Sheet3_Dummy_Variables!E193</f>
        <v>0</v>
      </c>
      <c r="G194" s="6" t="n">
        <f aca="false">Sheet3_Dummy_Variables!F193</f>
        <v>0</v>
      </c>
    </row>
    <row r="195" customFormat="false" ht="15" hidden="false" customHeight="false" outlineLevel="0" collapsed="false">
      <c r="A195" s="6" t="n">
        <f aca="false">Sheet2_Cleaned_Data!E194</f>
        <v>55788.61</v>
      </c>
      <c r="B195" s="6" t="n">
        <f aca="false">Sheet2_Cleaned_Data!F194</f>
        <v>2312</v>
      </c>
      <c r="C195" s="6" t="n">
        <f aca="false">Sheet2_Cleaned_Data!G194</f>
        <v>0.058</v>
      </c>
      <c r="D195" s="6" t="n">
        <f aca="false">Sheet2_Cleaned_Data!I194</f>
        <v>91.3</v>
      </c>
      <c r="E195" s="6" t="n">
        <f aca="false">Sheet3_Dummy_Variables!D194</f>
        <v>0</v>
      </c>
      <c r="F195" s="6" t="n">
        <f aca="false">Sheet3_Dummy_Variables!E194</f>
        <v>0</v>
      </c>
      <c r="G195" s="6" t="n">
        <f aca="false">Sheet3_Dummy_Variables!F194</f>
        <v>0</v>
      </c>
    </row>
    <row r="196" customFormat="false" ht="15" hidden="false" customHeight="false" outlineLevel="0" collapsed="false">
      <c r="A196" s="6" t="n">
        <f aca="false">Sheet2_Cleaned_Data!E195</f>
        <v>37705.88</v>
      </c>
      <c r="B196" s="6" t="n">
        <f aca="false">Sheet2_Cleaned_Data!F195</f>
        <v>1268</v>
      </c>
      <c r="C196" s="6" t="n">
        <f aca="false">Sheet2_Cleaned_Data!G195</f>
        <v>0.259</v>
      </c>
      <c r="D196" s="6" t="n">
        <f aca="false">Sheet2_Cleaned_Data!I195</f>
        <v>84.1</v>
      </c>
      <c r="E196" s="6" t="n">
        <f aca="false">Sheet3_Dummy_Variables!D195</f>
        <v>0</v>
      </c>
      <c r="F196" s="6" t="n">
        <f aca="false">Sheet3_Dummy_Variables!E195</f>
        <v>0</v>
      </c>
      <c r="G196" s="6" t="n">
        <f aca="false">Sheet3_Dummy_Variables!F195</f>
        <v>0</v>
      </c>
    </row>
    <row r="197" customFormat="false" ht="15" hidden="false" customHeight="false" outlineLevel="0" collapsed="false">
      <c r="A197" s="6" t="n">
        <f aca="false">Sheet2_Cleaned_Data!E196</f>
        <v>54966.18</v>
      </c>
      <c r="B197" s="6" t="n">
        <f aca="false">Sheet2_Cleaned_Data!F196</f>
        <v>4423</v>
      </c>
      <c r="C197" s="6" t="n">
        <f aca="false">Sheet2_Cleaned_Data!G196</f>
        <v>0.186</v>
      </c>
      <c r="D197" s="6" t="n">
        <f aca="false">Sheet2_Cleaned_Data!I196</f>
        <v>88.7</v>
      </c>
      <c r="E197" s="6" t="n">
        <f aca="false">Sheet3_Dummy_Variables!D196</f>
        <v>0</v>
      </c>
      <c r="F197" s="6" t="n">
        <f aca="false">Sheet3_Dummy_Variables!E196</f>
        <v>0</v>
      </c>
      <c r="G197" s="6" t="n">
        <f aca="false">Sheet3_Dummy_Variables!F196</f>
        <v>0</v>
      </c>
    </row>
    <row r="198" customFormat="false" ht="15" hidden="false" customHeight="false" outlineLevel="0" collapsed="false">
      <c r="A198" s="6" t="n">
        <f aca="false">Sheet2_Cleaned_Data!E197</f>
        <v>81796.74</v>
      </c>
      <c r="B198" s="6" t="n">
        <f aca="false">Sheet2_Cleaned_Data!F197</f>
        <v>6177</v>
      </c>
      <c r="C198" s="6" t="n">
        <f aca="false">Sheet2_Cleaned_Data!G197</f>
        <v>0.164</v>
      </c>
      <c r="D198" s="6" t="n">
        <f aca="false">Sheet2_Cleaned_Data!I197</f>
        <v>87.9</v>
      </c>
      <c r="E198" s="6" t="n">
        <f aca="false">Sheet3_Dummy_Variables!D197</f>
        <v>0</v>
      </c>
      <c r="F198" s="6" t="n">
        <f aca="false">Sheet3_Dummy_Variables!E197</f>
        <v>0</v>
      </c>
      <c r="G198" s="6" t="n">
        <f aca="false">Sheet3_Dummy_Variables!F197</f>
        <v>1</v>
      </c>
    </row>
    <row r="199" customFormat="false" ht="15" hidden="false" customHeight="false" outlineLevel="0" collapsed="false">
      <c r="A199" s="6" t="n">
        <f aca="false">Sheet2_Cleaned_Data!E198</f>
        <v>51133.43</v>
      </c>
      <c r="B199" s="6" t="n">
        <f aca="false">Sheet2_Cleaned_Data!F198</f>
        <v>5150</v>
      </c>
      <c r="C199" s="6" t="n">
        <f aca="false">Sheet2_Cleaned_Data!G198</f>
        <v>0.15</v>
      </c>
      <c r="D199" s="6" t="n">
        <f aca="false">Sheet2_Cleaned_Data!I198</f>
        <v>88.5</v>
      </c>
      <c r="E199" s="6" t="n">
        <f aca="false">Sheet3_Dummy_Variables!D198</f>
        <v>0</v>
      </c>
      <c r="F199" s="6" t="n">
        <f aca="false">Sheet3_Dummy_Variables!E198</f>
        <v>0</v>
      </c>
      <c r="G199" s="6" t="n">
        <f aca="false">Sheet3_Dummy_Variables!F198</f>
        <v>1</v>
      </c>
    </row>
    <row r="200" customFormat="false" ht="15" hidden="false" customHeight="false" outlineLevel="0" collapsed="false">
      <c r="A200" s="6" t="n">
        <f aca="false">Sheet2_Cleaned_Data!E199</f>
        <v>40220.18</v>
      </c>
      <c r="B200" s="6" t="n">
        <f aca="false">Sheet2_Cleaned_Data!F199</f>
        <v>3783</v>
      </c>
      <c r="C200" s="6" t="n">
        <f aca="false">Sheet2_Cleaned_Data!G199</f>
        <v>0.089</v>
      </c>
      <c r="D200" s="6" t="n">
        <f aca="false">Sheet2_Cleaned_Data!I199</f>
        <v>86.6</v>
      </c>
      <c r="E200" s="6" t="n">
        <f aca="false">Sheet3_Dummy_Variables!D199</f>
        <v>0</v>
      </c>
      <c r="F200" s="6" t="n">
        <f aca="false">Sheet3_Dummy_Variables!E199</f>
        <v>0</v>
      </c>
      <c r="G200" s="6" t="n">
        <f aca="false">Sheet3_Dummy_Variables!F199</f>
        <v>1</v>
      </c>
    </row>
    <row r="201" customFormat="false" ht="15" hidden="false" customHeight="false" outlineLevel="0" collapsed="false">
      <c r="A201" s="6" t="n">
        <f aca="false">Sheet2_Cleaned_Data!E200</f>
        <v>41657.64</v>
      </c>
      <c r="B201" s="6" t="n">
        <f aca="false">Sheet2_Cleaned_Data!F200</f>
        <v>3135</v>
      </c>
      <c r="C201" s="6" t="n">
        <f aca="false">Sheet2_Cleaned_Data!G200</f>
        <v>0.229</v>
      </c>
      <c r="D201" s="6" t="n">
        <f aca="false">Sheet2_Cleaned_Data!I200</f>
        <v>85.4</v>
      </c>
      <c r="E201" s="6" t="n">
        <f aca="false">Sheet3_Dummy_Variables!D200</f>
        <v>0</v>
      </c>
      <c r="F201" s="6" t="n">
        <f aca="false">Sheet3_Dummy_Variables!E200</f>
        <v>0</v>
      </c>
      <c r="G201" s="6" t="n">
        <f aca="false">Sheet3_Dummy_Variables!F200</f>
        <v>1</v>
      </c>
    </row>
    <row r="202" customFormat="false" ht="15" hidden="false" customHeight="false" outlineLevel="0" collapsed="false">
      <c r="A202" s="6" t="n">
        <f aca="false">Sheet2_Cleaned_Data!E201</f>
        <v>71851.45</v>
      </c>
      <c r="B202" s="6" t="n">
        <f aca="false">Sheet2_Cleaned_Data!F201</f>
        <v>4970</v>
      </c>
      <c r="C202" s="6" t="n">
        <f aca="false">Sheet2_Cleaned_Data!G201</f>
        <v>0.098</v>
      </c>
      <c r="D202" s="6" t="n">
        <f aca="false">Sheet2_Cleaned_Data!I201</f>
        <v>89.6</v>
      </c>
      <c r="E202" s="6" t="n">
        <f aca="false">Sheet3_Dummy_Variables!D201</f>
        <v>0</v>
      </c>
      <c r="F202" s="6" t="n">
        <f aca="false">Sheet3_Dummy_Variables!E201</f>
        <v>0</v>
      </c>
      <c r="G202" s="6" t="n">
        <f aca="false">Sheet3_Dummy_Variables!F201</f>
        <v>1</v>
      </c>
    </row>
    <row r="203" customFormat="false" ht="15" hidden="false" customHeight="false" outlineLevel="0" collapsed="false">
      <c r="A203" s="6" t="n">
        <f aca="false">Sheet2_Cleaned_Data!E202</f>
        <v>54002.83</v>
      </c>
      <c r="B203" s="6" t="n">
        <f aca="false">Sheet2_Cleaned_Data!F202</f>
        <v>4366</v>
      </c>
      <c r="C203" s="6" t="n">
        <f aca="false">Sheet2_Cleaned_Data!G202</f>
        <v>0.027</v>
      </c>
      <c r="D203" s="6" t="n">
        <f aca="false">Sheet2_Cleaned_Data!I202</f>
        <v>90.6</v>
      </c>
      <c r="E203" s="6" t="n">
        <f aca="false">Sheet3_Dummy_Variables!D202</f>
        <v>0</v>
      </c>
      <c r="F203" s="6" t="n">
        <f aca="false">Sheet3_Dummy_Variables!E202</f>
        <v>0</v>
      </c>
      <c r="G203" s="6" t="n">
        <f aca="false">Sheet3_Dummy_Variables!F202</f>
        <v>1</v>
      </c>
    </row>
    <row r="204" customFormat="false" ht="15" hidden="false" customHeight="false" outlineLevel="0" collapsed="false">
      <c r="A204" s="6" t="n">
        <f aca="false">Sheet2_Cleaned_Data!E203</f>
        <v>54479.33</v>
      </c>
      <c r="B204" s="6" t="n">
        <f aca="false">Sheet2_Cleaned_Data!F203</f>
        <v>5012</v>
      </c>
      <c r="C204" s="6" t="n">
        <f aca="false">Sheet2_Cleaned_Data!G203</f>
        <v>0.284</v>
      </c>
      <c r="D204" s="6" t="n">
        <f aca="false">Sheet2_Cleaned_Data!I203</f>
        <v>86</v>
      </c>
      <c r="E204" s="6" t="n">
        <f aca="false">Sheet3_Dummy_Variables!D203</f>
        <v>0</v>
      </c>
      <c r="F204" s="6" t="n">
        <f aca="false">Sheet3_Dummy_Variables!E203</f>
        <v>0</v>
      </c>
      <c r="G204" s="6" t="n">
        <f aca="false">Sheet3_Dummy_Variables!F203</f>
        <v>1</v>
      </c>
    </row>
    <row r="205" customFormat="false" ht="15" hidden="false" customHeight="false" outlineLevel="0" collapsed="false">
      <c r="A205" s="6" t="n">
        <f aca="false">Sheet2_Cleaned_Data!E204</f>
        <v>61391.8</v>
      </c>
      <c r="B205" s="6" t="n">
        <f aca="false">Sheet2_Cleaned_Data!F204</f>
        <v>5575</v>
      </c>
      <c r="C205" s="6" t="n">
        <f aca="false">Sheet2_Cleaned_Data!G204</f>
        <v>0.189</v>
      </c>
      <c r="D205" s="6" t="n">
        <f aca="false">Sheet2_Cleaned_Data!I204</f>
        <v>90</v>
      </c>
      <c r="E205" s="6" t="n">
        <f aca="false">Sheet3_Dummy_Variables!D204</f>
        <v>0</v>
      </c>
      <c r="F205" s="6" t="n">
        <f aca="false">Sheet3_Dummy_Variables!E204</f>
        <v>0</v>
      </c>
      <c r="G205" s="6" t="n">
        <f aca="false">Sheet3_Dummy_Variables!F204</f>
        <v>1</v>
      </c>
    </row>
    <row r="206" customFormat="false" ht="15" hidden="false" customHeight="false" outlineLevel="0" collapsed="false">
      <c r="A206" s="6" t="n">
        <f aca="false">Sheet2_Cleaned_Data!E205</f>
        <v>22312.93</v>
      </c>
      <c r="B206" s="6" t="n">
        <f aca="false">Sheet2_Cleaned_Data!F205</f>
        <v>5955</v>
      </c>
      <c r="C206" s="6" t="n">
        <f aca="false">Sheet2_Cleaned_Data!G205</f>
        <v>0.123</v>
      </c>
      <c r="D206" s="6" t="n">
        <f aca="false">Sheet2_Cleaned_Data!I205</f>
        <v>84.2</v>
      </c>
      <c r="E206" s="6" t="n">
        <f aca="false">Sheet3_Dummy_Variables!D205</f>
        <v>1</v>
      </c>
      <c r="F206" s="6" t="n">
        <f aca="false">Sheet3_Dummy_Variables!E205</f>
        <v>0</v>
      </c>
      <c r="G206" s="6" t="n">
        <f aca="false">Sheet3_Dummy_Variables!F205</f>
        <v>0</v>
      </c>
    </row>
    <row r="207" customFormat="false" ht="15" hidden="false" customHeight="false" outlineLevel="0" collapsed="false">
      <c r="A207" s="6" t="n">
        <f aca="false">Sheet2_Cleaned_Data!E206</f>
        <v>78111.97</v>
      </c>
      <c r="B207" s="6" t="n">
        <f aca="false">Sheet2_Cleaned_Data!F206</f>
        <v>6389</v>
      </c>
      <c r="C207" s="6" t="n">
        <f aca="false">Sheet2_Cleaned_Data!G206</f>
        <v>0.15</v>
      </c>
      <c r="D207" s="6" t="n">
        <f aca="false">Sheet2_Cleaned_Data!I206</f>
        <v>83.9</v>
      </c>
      <c r="E207" s="6" t="n">
        <f aca="false">Sheet3_Dummy_Variables!D206</f>
        <v>1</v>
      </c>
      <c r="F207" s="6" t="n">
        <f aca="false">Sheet3_Dummy_Variables!E206</f>
        <v>0</v>
      </c>
      <c r="G207" s="6" t="n">
        <f aca="false">Sheet3_Dummy_Variables!F206</f>
        <v>0</v>
      </c>
    </row>
    <row r="208" customFormat="false" ht="15" hidden="false" customHeight="false" outlineLevel="0" collapsed="false">
      <c r="A208" s="6" t="n">
        <f aca="false">Sheet2_Cleaned_Data!E207</f>
        <v>35203.23</v>
      </c>
      <c r="B208" s="6" t="n">
        <f aca="false">Sheet2_Cleaned_Data!F207</f>
        <v>6896</v>
      </c>
      <c r="C208" s="6" t="n">
        <f aca="false">Sheet2_Cleaned_Data!G207</f>
        <v>0.032</v>
      </c>
      <c r="D208" s="6" t="n">
        <f aca="false">Sheet2_Cleaned_Data!I207</f>
        <v>80.8</v>
      </c>
      <c r="E208" s="6" t="n">
        <f aca="false">Sheet3_Dummy_Variables!D207</f>
        <v>1</v>
      </c>
      <c r="F208" s="6" t="n">
        <f aca="false">Sheet3_Dummy_Variables!E207</f>
        <v>0</v>
      </c>
      <c r="G208" s="6" t="n">
        <f aca="false">Sheet3_Dummy_Variables!F207</f>
        <v>0</v>
      </c>
    </row>
    <row r="209" customFormat="false" ht="15" hidden="false" customHeight="false" outlineLevel="0" collapsed="false">
      <c r="A209" s="6" t="n">
        <f aca="false">Sheet2_Cleaned_Data!E208</f>
        <v>64104.28</v>
      </c>
      <c r="B209" s="6" t="n">
        <f aca="false">Sheet2_Cleaned_Data!F208</f>
        <v>6015</v>
      </c>
      <c r="C209" s="6" t="n">
        <f aca="false">Sheet2_Cleaned_Data!G208</f>
        <v>0.127</v>
      </c>
      <c r="D209" s="6" t="n">
        <f aca="false">Sheet2_Cleaned_Data!I208</f>
        <v>88.7</v>
      </c>
      <c r="E209" s="6" t="n">
        <f aca="false">Sheet3_Dummy_Variables!D208</f>
        <v>1</v>
      </c>
      <c r="F209" s="6" t="n">
        <f aca="false">Sheet3_Dummy_Variables!E208</f>
        <v>0</v>
      </c>
      <c r="G209" s="6" t="n">
        <f aca="false">Sheet3_Dummy_Variables!F208</f>
        <v>0</v>
      </c>
    </row>
    <row r="210" customFormat="false" ht="15" hidden="false" customHeight="false" outlineLevel="0" collapsed="false">
      <c r="A210" s="6" t="n">
        <f aca="false">Sheet2_Cleaned_Data!E209</f>
        <v>92090.14</v>
      </c>
      <c r="B210" s="6" t="n">
        <f aca="false">Sheet2_Cleaned_Data!F209</f>
        <v>9476</v>
      </c>
      <c r="C210" s="6" t="n">
        <f aca="false">Sheet2_Cleaned_Data!G209</f>
        <v>0.07</v>
      </c>
      <c r="D210" s="6" t="n">
        <f aca="false">Sheet2_Cleaned_Data!I209</f>
        <v>94.3</v>
      </c>
      <c r="E210" s="6" t="n">
        <f aca="false">Sheet3_Dummy_Variables!D209</f>
        <v>0</v>
      </c>
      <c r="F210" s="6" t="n">
        <f aca="false">Sheet3_Dummy_Variables!E209</f>
        <v>1</v>
      </c>
      <c r="G210" s="6" t="n">
        <f aca="false">Sheet3_Dummy_Variables!F209</f>
        <v>0</v>
      </c>
    </row>
    <row r="211" customFormat="false" ht="15" hidden="false" customHeight="false" outlineLevel="0" collapsed="false">
      <c r="A211" s="6" t="n">
        <f aca="false">Sheet2_Cleaned_Data!E210</f>
        <v>54300.87</v>
      </c>
      <c r="B211" s="6" t="n">
        <f aca="false">Sheet2_Cleaned_Data!F210</f>
        <v>7875</v>
      </c>
      <c r="C211" s="6" t="n">
        <f aca="false">Sheet2_Cleaned_Data!G210</f>
        <v>0.107</v>
      </c>
      <c r="D211" s="6" t="n">
        <f aca="false">Sheet2_Cleaned_Data!I210</f>
        <v>94.1</v>
      </c>
      <c r="E211" s="6" t="n">
        <f aca="false">Sheet3_Dummy_Variables!D210</f>
        <v>0</v>
      </c>
      <c r="F211" s="6" t="n">
        <f aca="false">Sheet3_Dummy_Variables!E210</f>
        <v>1</v>
      </c>
      <c r="G211" s="6" t="n">
        <f aca="false">Sheet3_Dummy_Variables!F210</f>
        <v>0</v>
      </c>
    </row>
    <row r="212" customFormat="false" ht="15" hidden="false" customHeight="false" outlineLevel="0" collapsed="false">
      <c r="A212" s="6" t="n">
        <f aca="false">Sheet2_Cleaned_Data!E211</f>
        <v>37983.35</v>
      </c>
      <c r="B212" s="6" t="n">
        <f aca="false">Sheet2_Cleaned_Data!F211</f>
        <v>9283</v>
      </c>
      <c r="C212" s="6" t="n">
        <f aca="false">Sheet2_Cleaned_Data!G211</f>
        <v>0.149</v>
      </c>
      <c r="D212" s="6" t="n">
        <f aca="false">Sheet2_Cleaned_Data!I211</f>
        <v>83.2</v>
      </c>
      <c r="E212" s="6" t="n">
        <f aca="false">Sheet3_Dummy_Variables!D211</f>
        <v>0</v>
      </c>
      <c r="F212" s="6" t="n">
        <f aca="false">Sheet3_Dummy_Variables!E211</f>
        <v>1</v>
      </c>
      <c r="G212" s="6" t="n">
        <f aca="false">Sheet3_Dummy_Variables!F211</f>
        <v>0</v>
      </c>
    </row>
    <row r="213" customFormat="false" ht="15" hidden="false" customHeight="false" outlineLevel="0" collapsed="false">
      <c r="A213" s="6" t="n">
        <f aca="false">Sheet2_Cleaned_Data!E212</f>
        <v>56413.83</v>
      </c>
      <c r="B213" s="6" t="n">
        <f aca="false">Sheet2_Cleaned_Data!F212</f>
        <v>8303</v>
      </c>
      <c r="C213" s="6" t="n">
        <f aca="false">Sheet2_Cleaned_Data!G212</f>
        <v>0.116</v>
      </c>
      <c r="D213" s="6" t="n">
        <f aca="false">Sheet2_Cleaned_Data!I212</f>
        <v>93.6</v>
      </c>
      <c r="E213" s="6" t="n">
        <f aca="false">Sheet3_Dummy_Variables!D212</f>
        <v>0</v>
      </c>
      <c r="F213" s="6" t="n">
        <f aca="false">Sheet3_Dummy_Variables!E212</f>
        <v>1</v>
      </c>
      <c r="G213" s="6" t="n">
        <f aca="false">Sheet3_Dummy_Variables!F212</f>
        <v>0</v>
      </c>
    </row>
    <row r="214" customFormat="false" ht="15" hidden="false" customHeight="false" outlineLevel="0" collapsed="false">
      <c r="A214" s="6" t="n">
        <f aca="false">Sheet2_Cleaned_Data!E213</f>
        <v>63457.19</v>
      </c>
      <c r="B214" s="6" t="n">
        <f aca="false">Sheet2_Cleaned_Data!F213</f>
        <v>10125</v>
      </c>
      <c r="C214" s="6" t="n">
        <f aca="false">Sheet2_Cleaned_Data!G213</f>
        <v>0.097</v>
      </c>
      <c r="D214" s="6" t="n">
        <f aca="false">Sheet2_Cleaned_Data!I213</f>
        <v>87</v>
      </c>
      <c r="E214" s="6" t="n">
        <f aca="false">Sheet3_Dummy_Variables!D213</f>
        <v>0</v>
      </c>
      <c r="F214" s="6" t="n">
        <f aca="false">Sheet3_Dummy_Variables!E213</f>
        <v>0</v>
      </c>
      <c r="G214" s="6" t="n">
        <f aca="false">Sheet3_Dummy_Variables!F213</f>
        <v>0</v>
      </c>
    </row>
    <row r="215" customFormat="false" ht="15" hidden="false" customHeight="false" outlineLevel="0" collapsed="false">
      <c r="A215" s="6" t="n">
        <f aca="false">Sheet2_Cleaned_Data!E214</f>
        <v>62949.7</v>
      </c>
      <c r="B215" s="6" t="n">
        <f aca="false">Sheet2_Cleaned_Data!F214</f>
        <v>9458</v>
      </c>
      <c r="C215" s="6" t="n">
        <f aca="false">Sheet2_Cleaned_Data!G214</f>
        <v>0.171</v>
      </c>
      <c r="D215" s="6" t="n">
        <f aca="false">Sheet2_Cleaned_Data!I214</f>
        <v>84.9</v>
      </c>
      <c r="E215" s="6" t="n">
        <f aca="false">Sheet3_Dummy_Variables!D214</f>
        <v>0</v>
      </c>
      <c r="F215" s="6" t="n">
        <f aca="false">Sheet3_Dummy_Variables!E214</f>
        <v>0</v>
      </c>
      <c r="G215" s="6" t="n">
        <f aca="false">Sheet3_Dummy_Variables!F214</f>
        <v>0</v>
      </c>
    </row>
    <row r="216" customFormat="false" ht="15" hidden="false" customHeight="false" outlineLevel="0" collapsed="false">
      <c r="A216" s="6" t="n">
        <f aca="false">Sheet2_Cleaned_Data!E215</f>
        <v>107970.19</v>
      </c>
      <c r="B216" s="6" t="n">
        <f aca="false">Sheet2_Cleaned_Data!F215</f>
        <v>12870</v>
      </c>
      <c r="C216" s="6" t="n">
        <f aca="false">Sheet2_Cleaned_Data!G215</f>
        <v>0.029</v>
      </c>
      <c r="D216" s="6" t="n">
        <f aca="false">Sheet2_Cleaned_Data!I215</f>
        <v>91.7</v>
      </c>
      <c r="E216" s="6" t="n">
        <f aca="false">Sheet3_Dummy_Variables!D215</f>
        <v>0</v>
      </c>
      <c r="F216" s="6" t="n">
        <f aca="false">Sheet3_Dummy_Variables!E215</f>
        <v>0</v>
      </c>
      <c r="G216" s="6" t="n">
        <f aca="false">Sheet3_Dummy_Variables!F215</f>
        <v>0</v>
      </c>
    </row>
    <row r="217" customFormat="false" ht="15" hidden="false" customHeight="false" outlineLevel="0" collapsed="false">
      <c r="A217" s="6" t="n">
        <f aca="false">Sheet2_Cleaned_Data!E216</f>
        <v>49405.75</v>
      </c>
      <c r="B217" s="6" t="n">
        <f aca="false">Sheet2_Cleaned_Data!F216</f>
        <v>9752</v>
      </c>
      <c r="C217" s="6" t="n">
        <f aca="false">Sheet2_Cleaned_Data!G216</f>
        <v>0.093</v>
      </c>
      <c r="D217" s="6" t="n">
        <f aca="false">Sheet2_Cleaned_Data!I216</f>
        <v>87</v>
      </c>
      <c r="E217" s="6" t="n">
        <f aca="false">Sheet3_Dummy_Variables!D216</f>
        <v>0</v>
      </c>
      <c r="F217" s="6" t="n">
        <f aca="false">Sheet3_Dummy_Variables!E216</f>
        <v>0</v>
      </c>
      <c r="G217" s="6" t="n">
        <f aca="false">Sheet3_Dummy_Variables!F216</f>
        <v>0</v>
      </c>
    </row>
    <row r="218" customFormat="false" ht="15" hidden="false" customHeight="false" outlineLevel="0" collapsed="false">
      <c r="A218" s="6" t="n">
        <f aca="false">Sheet2_Cleaned_Data!E217</f>
        <v>50887.46</v>
      </c>
      <c r="B218" s="6" t="n">
        <f aca="false">Sheet2_Cleaned_Data!F217</f>
        <v>9505</v>
      </c>
      <c r="C218" s="6" t="n">
        <f aca="false">Sheet2_Cleaned_Data!G217</f>
        <v>0.091</v>
      </c>
      <c r="D218" s="6" t="n">
        <f aca="false">Sheet2_Cleaned_Data!I217</f>
        <v>89.7</v>
      </c>
      <c r="E218" s="6" t="n">
        <f aca="false">Sheet3_Dummy_Variables!D217</f>
        <v>0</v>
      </c>
      <c r="F218" s="6" t="n">
        <f aca="false">Sheet3_Dummy_Variables!E217</f>
        <v>0</v>
      </c>
      <c r="G218" s="6" t="n">
        <f aca="false">Sheet3_Dummy_Variables!F217</f>
        <v>1</v>
      </c>
    </row>
    <row r="219" customFormat="false" ht="15" hidden="false" customHeight="false" outlineLevel="0" collapsed="false">
      <c r="A219" s="6" t="n">
        <f aca="false">Sheet2_Cleaned_Data!E218</f>
        <v>41819.45</v>
      </c>
      <c r="B219" s="6" t="n">
        <f aca="false">Sheet2_Cleaned_Data!F218</f>
        <v>9412</v>
      </c>
      <c r="C219" s="6" t="n">
        <f aca="false">Sheet2_Cleaned_Data!G218</f>
        <v>0.15</v>
      </c>
      <c r="D219" s="6" t="n">
        <f aca="false">Sheet2_Cleaned_Data!I218</f>
        <v>91</v>
      </c>
      <c r="E219" s="6" t="n">
        <f aca="false">Sheet3_Dummy_Variables!D218</f>
        <v>0</v>
      </c>
      <c r="F219" s="6" t="n">
        <f aca="false">Sheet3_Dummy_Variables!E218</f>
        <v>0</v>
      </c>
      <c r="G219" s="6" t="n">
        <f aca="false">Sheet3_Dummy_Variables!F218</f>
        <v>1</v>
      </c>
    </row>
    <row r="220" customFormat="false" ht="15" hidden="false" customHeight="false" outlineLevel="0" collapsed="false">
      <c r="A220" s="6" t="n">
        <f aca="false">Sheet2_Cleaned_Data!E219</f>
        <v>35296.54</v>
      </c>
      <c r="B220" s="6" t="n">
        <f aca="false">Sheet2_Cleaned_Data!F219</f>
        <v>9644</v>
      </c>
      <c r="C220" s="6" t="n">
        <f aca="false">Sheet2_Cleaned_Data!G219</f>
        <v>0</v>
      </c>
      <c r="D220" s="6" t="n">
        <f aca="false">Sheet2_Cleaned_Data!I219</f>
        <v>88</v>
      </c>
      <c r="E220" s="6" t="n">
        <f aca="false">Sheet3_Dummy_Variables!D219</f>
        <v>0</v>
      </c>
      <c r="F220" s="6" t="n">
        <f aca="false">Sheet3_Dummy_Variables!E219</f>
        <v>0</v>
      </c>
      <c r="G220" s="6" t="n">
        <f aca="false">Sheet3_Dummy_Variables!F219</f>
        <v>1</v>
      </c>
    </row>
    <row r="221" customFormat="false" ht="15" hidden="false" customHeight="false" outlineLevel="0" collapsed="false">
      <c r="A221" s="6" t="n">
        <f aca="false">Sheet2_Cleaned_Data!E220</f>
        <v>47391.09</v>
      </c>
      <c r="B221" s="6" t="n">
        <f aca="false">Sheet2_Cleaned_Data!F220</f>
        <v>11224</v>
      </c>
      <c r="C221" s="6" t="n">
        <f aca="false">Sheet2_Cleaned_Data!G220</f>
        <v>0.147</v>
      </c>
      <c r="D221" s="6" t="n">
        <f aca="false">Sheet2_Cleaned_Data!I220</f>
        <v>88.4</v>
      </c>
      <c r="E221" s="6" t="n">
        <f aca="false">Sheet3_Dummy_Variables!D220</f>
        <v>0</v>
      </c>
      <c r="F221" s="6" t="n">
        <f aca="false">Sheet3_Dummy_Variables!E220</f>
        <v>0</v>
      </c>
      <c r="G221" s="6" t="n">
        <f aca="false">Sheet3_Dummy_Variables!F220</f>
        <v>1</v>
      </c>
    </row>
    <row r="222" customFormat="false" ht="15" hidden="false" customHeight="false" outlineLevel="0" collapsed="false">
      <c r="A222" s="6" t="n">
        <f aca="false">Sheet2_Cleaned_Data!E221</f>
        <v>69180.54</v>
      </c>
      <c r="B222" s="6" t="n">
        <f aca="false">Sheet2_Cleaned_Data!F221</f>
        <v>5394</v>
      </c>
      <c r="C222" s="6" t="n">
        <f aca="false">Sheet2_Cleaned_Data!G221</f>
        <v>0.126</v>
      </c>
      <c r="D222" s="6" t="n">
        <f aca="false">Sheet2_Cleaned_Data!I221</f>
        <v>82.9</v>
      </c>
      <c r="E222" s="6" t="n">
        <f aca="false">Sheet3_Dummy_Variables!D221</f>
        <v>1</v>
      </c>
      <c r="F222" s="6" t="n">
        <f aca="false">Sheet3_Dummy_Variables!E221</f>
        <v>0</v>
      </c>
      <c r="G222" s="6" t="n">
        <f aca="false">Sheet3_Dummy_Variables!F221</f>
        <v>0</v>
      </c>
    </row>
    <row r="223" customFormat="false" ht="15" hidden="false" customHeight="false" outlineLevel="0" collapsed="false">
      <c r="A223" s="6" t="n">
        <f aca="false">Sheet2_Cleaned_Data!E222</f>
        <v>33987.33</v>
      </c>
      <c r="B223" s="6" t="n">
        <f aca="false">Sheet2_Cleaned_Data!F222</f>
        <v>5014</v>
      </c>
      <c r="C223" s="6" t="n">
        <f aca="false">Sheet2_Cleaned_Data!G222</f>
        <v>0.246</v>
      </c>
      <c r="D223" s="6" t="n">
        <f aca="false">Sheet2_Cleaned_Data!I222</f>
        <v>94.3</v>
      </c>
      <c r="E223" s="6" t="n">
        <f aca="false">Sheet3_Dummy_Variables!D222</f>
        <v>1</v>
      </c>
      <c r="F223" s="6" t="n">
        <f aca="false">Sheet3_Dummy_Variables!E222</f>
        <v>0</v>
      </c>
      <c r="G223" s="6" t="n">
        <f aca="false">Sheet3_Dummy_Variables!F222</f>
        <v>0</v>
      </c>
    </row>
    <row r="224" customFormat="false" ht="15" hidden="false" customHeight="false" outlineLevel="0" collapsed="false">
      <c r="A224" s="6" t="n">
        <f aca="false">Sheet2_Cleaned_Data!E223</f>
        <v>58785.33</v>
      </c>
      <c r="B224" s="6" t="n">
        <f aca="false">Sheet2_Cleaned_Data!F223</f>
        <v>4467</v>
      </c>
      <c r="C224" s="6" t="n">
        <f aca="false">Sheet2_Cleaned_Data!G223</f>
        <v>0.229</v>
      </c>
      <c r="D224" s="6" t="n">
        <f aca="false">Sheet2_Cleaned_Data!I223</f>
        <v>90.7</v>
      </c>
      <c r="E224" s="6" t="n">
        <f aca="false">Sheet3_Dummy_Variables!D223</f>
        <v>1</v>
      </c>
      <c r="F224" s="6" t="n">
        <f aca="false">Sheet3_Dummy_Variables!E223</f>
        <v>0</v>
      </c>
      <c r="G224" s="6" t="n">
        <f aca="false">Sheet3_Dummy_Variables!F223</f>
        <v>0</v>
      </c>
    </row>
    <row r="225" customFormat="false" ht="15" hidden="false" customHeight="false" outlineLevel="0" collapsed="false">
      <c r="A225" s="6" t="n">
        <f aca="false">Sheet2_Cleaned_Data!E224</f>
        <v>16451.85</v>
      </c>
      <c r="B225" s="6" t="n">
        <f aca="false">Sheet2_Cleaned_Data!F224</f>
        <v>4678</v>
      </c>
      <c r="C225" s="6" t="n">
        <f aca="false">Sheet2_Cleaned_Data!G224</f>
        <v>0.133</v>
      </c>
      <c r="D225" s="6" t="n">
        <f aca="false">Sheet2_Cleaned_Data!I224</f>
        <v>95.9</v>
      </c>
      <c r="E225" s="6" t="n">
        <f aca="false">Sheet3_Dummy_Variables!D224</f>
        <v>1</v>
      </c>
      <c r="F225" s="6" t="n">
        <f aca="false">Sheet3_Dummy_Variables!E224</f>
        <v>0</v>
      </c>
      <c r="G225" s="6" t="n">
        <f aca="false">Sheet3_Dummy_Variables!F224</f>
        <v>0</v>
      </c>
    </row>
    <row r="226" customFormat="false" ht="15" hidden="false" customHeight="false" outlineLevel="0" collapsed="false">
      <c r="A226" s="6" t="n">
        <f aca="false">Sheet2_Cleaned_Data!E225</f>
        <v>53367.73</v>
      </c>
      <c r="B226" s="6" t="n">
        <f aca="false">Sheet2_Cleaned_Data!F225</f>
        <v>7291</v>
      </c>
      <c r="C226" s="6" t="n">
        <f aca="false">Sheet2_Cleaned_Data!G225</f>
        <v>0.146</v>
      </c>
      <c r="D226" s="6" t="n">
        <f aca="false">Sheet2_Cleaned_Data!I225</f>
        <v>90.6</v>
      </c>
      <c r="E226" s="6" t="n">
        <f aca="false">Sheet3_Dummy_Variables!D225</f>
        <v>0</v>
      </c>
      <c r="F226" s="6" t="n">
        <f aca="false">Sheet3_Dummy_Variables!E225</f>
        <v>0</v>
      </c>
      <c r="G226" s="6" t="n">
        <f aca="false">Sheet3_Dummy_Variables!F225</f>
        <v>0</v>
      </c>
    </row>
    <row r="227" customFormat="false" ht="15" hidden="false" customHeight="false" outlineLevel="0" collapsed="false">
      <c r="A227" s="6" t="n">
        <f aca="false">Sheet2_Cleaned_Data!E226</f>
        <v>27194.64</v>
      </c>
      <c r="B227" s="6" t="n">
        <f aca="false">Sheet2_Cleaned_Data!F226</f>
        <v>7404</v>
      </c>
      <c r="C227" s="6" t="n">
        <f aca="false">Sheet2_Cleaned_Data!G226</f>
        <v>0.088</v>
      </c>
      <c r="D227" s="6" t="n">
        <f aca="false">Sheet2_Cleaned_Data!I226</f>
        <v>90.2</v>
      </c>
      <c r="E227" s="6" t="n">
        <f aca="false">Sheet3_Dummy_Variables!D226</f>
        <v>0</v>
      </c>
      <c r="F227" s="6" t="n">
        <f aca="false">Sheet3_Dummy_Variables!E226</f>
        <v>0</v>
      </c>
      <c r="G227" s="6" t="n">
        <f aca="false">Sheet3_Dummy_Variables!F226</f>
        <v>0</v>
      </c>
    </row>
    <row r="228" customFormat="false" ht="15" hidden="false" customHeight="false" outlineLevel="0" collapsed="false">
      <c r="A228" s="6" t="n">
        <f aca="false">Sheet2_Cleaned_Data!E227</f>
        <v>66962.74</v>
      </c>
      <c r="B228" s="6" t="n">
        <f aca="false">Sheet2_Cleaned_Data!F227</f>
        <v>7880</v>
      </c>
      <c r="C228" s="6" t="n">
        <f aca="false">Sheet2_Cleaned_Data!G227</f>
        <v>0.116</v>
      </c>
      <c r="D228" s="6" t="n">
        <f aca="false">Sheet2_Cleaned_Data!I227</f>
        <v>90.4</v>
      </c>
      <c r="E228" s="6" t="n">
        <f aca="false">Sheet3_Dummy_Variables!D227</f>
        <v>0</v>
      </c>
      <c r="F228" s="6" t="n">
        <f aca="false">Sheet3_Dummy_Variables!E227</f>
        <v>0</v>
      </c>
      <c r="G228" s="6" t="n">
        <f aca="false">Sheet3_Dummy_Variables!F227</f>
        <v>0</v>
      </c>
    </row>
    <row r="229" customFormat="false" ht="15" hidden="false" customHeight="false" outlineLevel="0" collapsed="false">
      <c r="A229" s="6" t="n">
        <f aca="false">Sheet2_Cleaned_Data!E228</f>
        <v>73540.99</v>
      </c>
      <c r="B229" s="6" t="n">
        <f aca="false">Sheet2_Cleaned_Data!F228</f>
        <v>8773</v>
      </c>
      <c r="C229" s="6" t="n">
        <f aca="false">Sheet2_Cleaned_Data!G228</f>
        <v>0.035</v>
      </c>
      <c r="D229" s="6" t="n">
        <f aca="false">Sheet2_Cleaned_Data!I228</f>
        <v>84.4</v>
      </c>
      <c r="E229" s="6" t="n">
        <f aca="false">Sheet3_Dummy_Variables!D228</f>
        <v>0</v>
      </c>
      <c r="F229" s="6" t="n">
        <f aca="false">Sheet3_Dummy_Variables!E228</f>
        <v>0</v>
      </c>
      <c r="G229" s="6" t="n">
        <f aca="false">Sheet3_Dummy_Variables!F228</f>
        <v>0</v>
      </c>
    </row>
    <row r="230" customFormat="false" ht="15" hidden="false" customHeight="false" outlineLevel="0" collapsed="false">
      <c r="A230" s="6" t="n">
        <f aca="false">Sheet2_Cleaned_Data!E229</f>
        <v>68212.29</v>
      </c>
      <c r="B230" s="6" t="n">
        <f aca="false">Sheet2_Cleaned_Data!F229</f>
        <v>4713</v>
      </c>
      <c r="C230" s="6" t="n">
        <f aca="false">Sheet2_Cleaned_Data!G229</f>
        <v>0.198</v>
      </c>
      <c r="D230" s="6" t="n">
        <f aca="false">Sheet2_Cleaned_Data!I229</f>
        <v>82.6</v>
      </c>
      <c r="E230" s="6" t="n">
        <f aca="false">Sheet3_Dummy_Variables!D229</f>
        <v>0</v>
      </c>
      <c r="F230" s="6" t="n">
        <f aca="false">Sheet3_Dummy_Variables!E229</f>
        <v>1</v>
      </c>
      <c r="G230" s="6" t="n">
        <f aca="false">Sheet3_Dummy_Variables!F229</f>
        <v>0</v>
      </c>
    </row>
    <row r="231" customFormat="false" ht="15" hidden="false" customHeight="false" outlineLevel="0" collapsed="false">
      <c r="A231" s="6" t="n">
        <f aca="false">Sheet2_Cleaned_Data!E230</f>
        <v>57225.98</v>
      </c>
      <c r="B231" s="6" t="n">
        <f aca="false">Sheet2_Cleaned_Data!F230</f>
        <v>2842</v>
      </c>
      <c r="C231" s="6" t="n">
        <f aca="false">Sheet2_Cleaned_Data!G230</f>
        <v>0.112</v>
      </c>
      <c r="D231" s="6" t="n">
        <f aca="false">Sheet2_Cleaned_Data!I230</f>
        <v>79.5</v>
      </c>
      <c r="E231" s="6" t="n">
        <f aca="false">Sheet3_Dummy_Variables!D230</f>
        <v>0</v>
      </c>
      <c r="F231" s="6" t="n">
        <f aca="false">Sheet3_Dummy_Variables!E230</f>
        <v>1</v>
      </c>
      <c r="G231" s="6" t="n">
        <f aca="false">Sheet3_Dummy_Variables!F230</f>
        <v>0</v>
      </c>
    </row>
    <row r="232" customFormat="false" ht="15" hidden="false" customHeight="false" outlineLevel="0" collapsed="false">
      <c r="A232" s="6" t="n">
        <f aca="false">Sheet2_Cleaned_Data!E231</f>
        <v>42932.02</v>
      </c>
      <c r="B232" s="6" t="n">
        <f aca="false">Sheet2_Cleaned_Data!F231</f>
        <v>3872</v>
      </c>
      <c r="C232" s="6" t="n">
        <f aca="false">Sheet2_Cleaned_Data!G231</f>
        <v>0.171</v>
      </c>
      <c r="D232" s="6" t="n">
        <f aca="false">Sheet2_Cleaned_Data!I231</f>
        <v>83.2</v>
      </c>
      <c r="E232" s="6" t="n">
        <f aca="false">Sheet3_Dummy_Variables!D231</f>
        <v>0</v>
      </c>
      <c r="F232" s="6" t="n">
        <f aca="false">Sheet3_Dummy_Variables!E231</f>
        <v>1</v>
      </c>
      <c r="G232" s="6" t="n">
        <f aca="false">Sheet3_Dummy_Variables!F231</f>
        <v>0</v>
      </c>
    </row>
    <row r="233" customFormat="false" ht="15" hidden="false" customHeight="false" outlineLevel="0" collapsed="false">
      <c r="A233" s="6" t="n">
        <f aca="false">Sheet2_Cleaned_Data!E232</f>
        <v>39341.45</v>
      </c>
      <c r="B233" s="6" t="n">
        <f aca="false">Sheet2_Cleaned_Data!F232</f>
        <v>1375</v>
      </c>
      <c r="C233" s="6" t="n">
        <f aca="false">Sheet2_Cleaned_Data!G232</f>
        <v>0.093</v>
      </c>
      <c r="D233" s="6" t="n">
        <f aca="false">Sheet2_Cleaned_Data!I232</f>
        <v>95</v>
      </c>
      <c r="E233" s="6" t="n">
        <f aca="false">Sheet3_Dummy_Variables!D232</f>
        <v>0</v>
      </c>
      <c r="F233" s="6" t="n">
        <f aca="false">Sheet3_Dummy_Variables!E232</f>
        <v>1</v>
      </c>
      <c r="G233" s="6" t="n">
        <f aca="false">Sheet3_Dummy_Variables!F232</f>
        <v>0</v>
      </c>
    </row>
    <row r="234" customFormat="false" ht="15" hidden="false" customHeight="false" outlineLevel="0" collapsed="false">
      <c r="A234" s="6" t="n">
        <f aca="false">Sheet2_Cleaned_Data!E233</f>
        <v>37324.23</v>
      </c>
      <c r="B234" s="6" t="n">
        <f aca="false">Sheet2_Cleaned_Data!F233</f>
        <v>5957</v>
      </c>
      <c r="C234" s="6" t="n">
        <f aca="false">Sheet2_Cleaned_Data!G233</f>
        <v>0.071</v>
      </c>
      <c r="D234" s="6" t="n">
        <f aca="false">Sheet2_Cleaned_Data!I233</f>
        <v>85.9</v>
      </c>
      <c r="E234" s="6" t="n">
        <f aca="false">Sheet3_Dummy_Variables!D233</f>
        <v>0</v>
      </c>
      <c r="F234" s="6" t="n">
        <f aca="false">Sheet3_Dummy_Variables!E233</f>
        <v>0</v>
      </c>
      <c r="G234" s="6" t="n">
        <f aca="false">Sheet3_Dummy_Variables!F233</f>
        <v>0</v>
      </c>
    </row>
    <row r="235" customFormat="false" ht="15" hidden="false" customHeight="false" outlineLevel="0" collapsed="false">
      <c r="A235" s="6" t="n">
        <f aca="false">Sheet2_Cleaned_Data!E234</f>
        <v>113736</v>
      </c>
      <c r="B235" s="6" t="n">
        <f aca="false">Sheet2_Cleaned_Data!F234</f>
        <v>8961</v>
      </c>
      <c r="C235" s="6" t="n">
        <f aca="false">Sheet2_Cleaned_Data!G234</f>
        <v>0.202</v>
      </c>
      <c r="D235" s="6" t="n">
        <f aca="false">Sheet2_Cleaned_Data!I234</f>
        <v>86.2</v>
      </c>
      <c r="E235" s="6" t="n">
        <f aca="false">Sheet3_Dummy_Variables!D234</f>
        <v>0</v>
      </c>
      <c r="F235" s="6" t="n">
        <f aca="false">Sheet3_Dummy_Variables!E234</f>
        <v>0</v>
      </c>
      <c r="G235" s="6" t="n">
        <f aca="false">Sheet3_Dummy_Variables!F234</f>
        <v>0</v>
      </c>
    </row>
    <row r="236" customFormat="false" ht="15" hidden="false" customHeight="false" outlineLevel="0" collapsed="false">
      <c r="A236" s="6" t="n">
        <f aca="false">Sheet2_Cleaned_Data!E235</f>
        <v>33173.95</v>
      </c>
      <c r="B236" s="6" t="n">
        <f aca="false">Sheet2_Cleaned_Data!F235</f>
        <v>6545</v>
      </c>
      <c r="C236" s="6" t="n">
        <f aca="false">Sheet2_Cleaned_Data!G235</f>
        <v>0.169</v>
      </c>
      <c r="D236" s="6" t="n">
        <f aca="false">Sheet2_Cleaned_Data!I235</f>
        <v>84.4</v>
      </c>
      <c r="E236" s="6" t="n">
        <f aca="false">Sheet3_Dummy_Variables!D235</f>
        <v>0</v>
      </c>
      <c r="F236" s="6" t="n">
        <f aca="false">Sheet3_Dummy_Variables!E235</f>
        <v>0</v>
      </c>
      <c r="G236" s="6" t="n">
        <f aca="false">Sheet3_Dummy_Variables!F235</f>
        <v>0</v>
      </c>
    </row>
    <row r="237" customFormat="false" ht="15" hidden="false" customHeight="false" outlineLevel="0" collapsed="false">
      <c r="A237" s="6" t="n">
        <f aca="false">Sheet2_Cleaned_Data!E236</f>
        <v>25818.08</v>
      </c>
      <c r="B237" s="6" t="n">
        <f aca="false">Sheet2_Cleaned_Data!F236</f>
        <v>5457</v>
      </c>
      <c r="C237" s="6" t="n">
        <f aca="false">Sheet2_Cleaned_Data!G236</f>
        <v>0</v>
      </c>
      <c r="D237" s="6" t="n">
        <f aca="false">Sheet2_Cleaned_Data!I236</f>
        <v>95.4</v>
      </c>
      <c r="E237" s="6" t="n">
        <f aca="false">Sheet3_Dummy_Variables!D236</f>
        <v>0</v>
      </c>
      <c r="F237" s="6" t="n">
        <f aca="false">Sheet3_Dummy_Variables!E236</f>
        <v>0</v>
      </c>
      <c r="G237" s="6" t="n">
        <f aca="false">Sheet3_Dummy_Variables!F236</f>
        <v>0</v>
      </c>
    </row>
    <row r="238" customFormat="false" ht="15" hidden="false" customHeight="false" outlineLevel="0" collapsed="false">
      <c r="A238" s="6" t="n">
        <f aca="false">Sheet2_Cleaned_Data!E237</f>
        <v>47241.92</v>
      </c>
      <c r="B238" s="6" t="n">
        <f aca="false">Sheet2_Cleaned_Data!F237</f>
        <v>4264</v>
      </c>
      <c r="C238" s="6" t="n">
        <f aca="false">Sheet2_Cleaned_Data!G237</f>
        <v>0.069</v>
      </c>
      <c r="D238" s="6" t="n">
        <f aca="false">Sheet2_Cleaned_Data!I237</f>
        <v>95.3</v>
      </c>
      <c r="E238" s="6" t="n">
        <f aca="false">Sheet3_Dummy_Variables!D237</f>
        <v>0</v>
      </c>
      <c r="F238" s="6" t="n">
        <f aca="false">Sheet3_Dummy_Variables!E237</f>
        <v>0</v>
      </c>
      <c r="G238" s="6" t="n">
        <f aca="false">Sheet3_Dummy_Variables!F237</f>
        <v>1</v>
      </c>
    </row>
    <row r="239" customFormat="false" ht="15" hidden="false" customHeight="false" outlineLevel="0" collapsed="false">
      <c r="A239" s="6" t="n">
        <f aca="false">Sheet2_Cleaned_Data!E238</f>
        <v>61650.79</v>
      </c>
      <c r="B239" s="6" t="n">
        <f aca="false">Sheet2_Cleaned_Data!F238</f>
        <v>5321</v>
      </c>
      <c r="C239" s="6" t="n">
        <f aca="false">Sheet2_Cleaned_Data!G238</f>
        <v>0.126</v>
      </c>
      <c r="D239" s="6" t="n">
        <f aca="false">Sheet2_Cleaned_Data!I238</f>
        <v>89.2</v>
      </c>
      <c r="E239" s="6" t="n">
        <f aca="false">Sheet3_Dummy_Variables!D238</f>
        <v>0</v>
      </c>
      <c r="F239" s="6" t="n">
        <f aca="false">Sheet3_Dummy_Variables!E238</f>
        <v>0</v>
      </c>
      <c r="G239" s="6" t="n">
        <f aca="false">Sheet3_Dummy_Variables!F238</f>
        <v>1</v>
      </c>
    </row>
    <row r="240" customFormat="false" ht="15" hidden="false" customHeight="false" outlineLevel="0" collapsed="false">
      <c r="A240" s="6" t="n">
        <f aca="false">Sheet2_Cleaned_Data!E239</f>
        <v>62582.71</v>
      </c>
      <c r="B240" s="6" t="n">
        <f aca="false">Sheet2_Cleaned_Data!F239</f>
        <v>5479</v>
      </c>
      <c r="C240" s="6" t="n">
        <f aca="false">Sheet2_Cleaned_Data!G239</f>
        <v>0.048</v>
      </c>
      <c r="D240" s="6" t="n">
        <f aca="false">Sheet2_Cleaned_Data!I239</f>
        <v>81.2</v>
      </c>
      <c r="E240" s="6" t="n">
        <f aca="false">Sheet3_Dummy_Variables!D239</f>
        <v>0</v>
      </c>
      <c r="F240" s="6" t="n">
        <f aca="false">Sheet3_Dummy_Variables!E239</f>
        <v>0</v>
      </c>
      <c r="G240" s="6" t="n">
        <f aca="false">Sheet3_Dummy_Variables!F239</f>
        <v>1</v>
      </c>
    </row>
    <row r="241" customFormat="false" ht="15" hidden="false" customHeight="false" outlineLevel="0" collapsed="false">
      <c r="A241" s="6" t="n">
        <f aca="false">Sheet2_Cleaned_Data!E240</f>
        <v>47944.14</v>
      </c>
      <c r="B241" s="6" t="n">
        <f aca="false">Sheet2_Cleaned_Data!F240</f>
        <v>6169</v>
      </c>
      <c r="C241" s="6" t="n">
        <f aca="false">Sheet2_Cleaned_Data!G240</f>
        <v>0.119</v>
      </c>
      <c r="D241" s="6" t="n">
        <f aca="false">Sheet2_Cleaned_Data!I240</f>
        <v>92.2</v>
      </c>
      <c r="E241" s="6" t="n">
        <f aca="false">Sheet3_Dummy_Variables!D240</f>
        <v>0</v>
      </c>
      <c r="F241" s="6" t="n">
        <f aca="false">Sheet3_Dummy_Variables!E240</f>
        <v>0</v>
      </c>
      <c r="G241" s="6" t="n">
        <f aca="false">Sheet3_Dummy_Variables!F240</f>
        <v>1</v>
      </c>
    </row>
    <row r="242" customFormat="false" ht="15" hidden="false" customHeight="false" outlineLevel="0" collapsed="false">
      <c r="A242" s="6" t="n">
        <f aca="false">Sheet2_Cleaned_Data!E241</f>
        <v>46495.4</v>
      </c>
      <c r="B242" s="6" t="n">
        <f aca="false">Sheet2_Cleaned_Data!F241</f>
        <v>9908</v>
      </c>
      <c r="C242" s="6" t="n">
        <f aca="false">Sheet2_Cleaned_Data!G241</f>
        <v>0.121</v>
      </c>
      <c r="D242" s="6" t="n">
        <f aca="false">Sheet2_Cleaned_Data!I241</f>
        <v>89.4</v>
      </c>
      <c r="E242" s="6" t="n">
        <f aca="false">Sheet3_Dummy_Variables!D241</f>
        <v>0</v>
      </c>
      <c r="F242" s="6" t="n">
        <f aca="false">Sheet3_Dummy_Variables!E241</f>
        <v>1</v>
      </c>
      <c r="G242" s="6" t="n">
        <f aca="false">Sheet3_Dummy_Variables!F241</f>
        <v>0</v>
      </c>
    </row>
    <row r="243" customFormat="false" ht="15" hidden="false" customHeight="false" outlineLevel="0" collapsed="false">
      <c r="A243" s="6" t="n">
        <f aca="false">Sheet2_Cleaned_Data!E242</f>
        <v>72961.95</v>
      </c>
      <c r="B243" s="6" t="n">
        <f aca="false">Sheet2_Cleaned_Data!F242</f>
        <v>9996</v>
      </c>
      <c r="C243" s="6" t="n">
        <f aca="false">Sheet2_Cleaned_Data!G242</f>
        <v>0.106</v>
      </c>
      <c r="D243" s="6" t="n">
        <f aca="false">Sheet2_Cleaned_Data!I242</f>
        <v>89.1</v>
      </c>
      <c r="E243" s="6" t="n">
        <f aca="false">Sheet3_Dummy_Variables!D242</f>
        <v>0</v>
      </c>
      <c r="F243" s="6" t="n">
        <f aca="false">Sheet3_Dummy_Variables!E242</f>
        <v>1</v>
      </c>
      <c r="G243" s="6" t="n">
        <f aca="false">Sheet3_Dummy_Variables!F242</f>
        <v>0</v>
      </c>
    </row>
    <row r="244" customFormat="false" ht="15" hidden="false" customHeight="false" outlineLevel="0" collapsed="false">
      <c r="A244" s="6" t="n">
        <f aca="false">Sheet2_Cleaned_Data!E243</f>
        <v>59060.05</v>
      </c>
      <c r="B244" s="6" t="n">
        <f aca="false">Sheet2_Cleaned_Data!F243</f>
        <v>9702</v>
      </c>
      <c r="C244" s="6" t="n">
        <f aca="false">Sheet2_Cleaned_Data!G243</f>
        <v>0.201</v>
      </c>
      <c r="D244" s="6" t="n">
        <f aca="false">Sheet2_Cleaned_Data!I243</f>
        <v>80.9</v>
      </c>
      <c r="E244" s="6" t="n">
        <f aca="false">Sheet3_Dummy_Variables!D243</f>
        <v>0</v>
      </c>
      <c r="F244" s="6" t="n">
        <f aca="false">Sheet3_Dummy_Variables!E243</f>
        <v>1</v>
      </c>
      <c r="G244" s="6" t="n">
        <f aca="false">Sheet3_Dummy_Variables!F243</f>
        <v>0</v>
      </c>
    </row>
    <row r="245" customFormat="false" ht="15" hidden="false" customHeight="false" outlineLevel="0" collapsed="false">
      <c r="A245" s="6" t="n">
        <f aca="false">Sheet2_Cleaned_Data!E244</f>
        <v>26248.1</v>
      </c>
      <c r="B245" s="6" t="n">
        <f aca="false">Sheet2_Cleaned_Data!F244</f>
        <v>9314</v>
      </c>
      <c r="C245" s="6" t="n">
        <f aca="false">Sheet2_Cleaned_Data!G244</f>
        <v>0.186</v>
      </c>
      <c r="D245" s="6" t="n">
        <f aca="false">Sheet2_Cleaned_Data!I244</f>
        <v>83.7</v>
      </c>
      <c r="E245" s="6" t="n">
        <f aca="false">Sheet3_Dummy_Variables!D244</f>
        <v>0</v>
      </c>
      <c r="F245" s="6" t="n">
        <f aca="false">Sheet3_Dummy_Variables!E244</f>
        <v>1</v>
      </c>
      <c r="G245" s="6" t="n">
        <f aca="false">Sheet3_Dummy_Variables!F244</f>
        <v>0</v>
      </c>
    </row>
    <row r="246" customFormat="false" ht="15" hidden="false" customHeight="false" outlineLevel="0" collapsed="false">
      <c r="A246" s="6" t="n">
        <f aca="false">Sheet2_Cleaned_Data!E245</f>
        <v>69900.12</v>
      </c>
      <c r="B246" s="6" t="n">
        <f aca="false">Sheet2_Cleaned_Data!F245</f>
        <v>8055</v>
      </c>
      <c r="C246" s="6" t="n">
        <f aca="false">Sheet2_Cleaned_Data!G245</f>
        <v>0.281</v>
      </c>
      <c r="D246" s="6" t="n">
        <f aca="false">Sheet2_Cleaned_Data!I245</f>
        <v>85.6</v>
      </c>
      <c r="E246" s="6" t="n">
        <f aca="false">Sheet3_Dummy_Variables!D245</f>
        <v>1</v>
      </c>
      <c r="F246" s="6" t="n">
        <f aca="false">Sheet3_Dummy_Variables!E245</f>
        <v>0</v>
      </c>
      <c r="G246" s="6" t="n">
        <f aca="false">Sheet3_Dummy_Variables!F245</f>
        <v>0</v>
      </c>
    </row>
    <row r="247" customFormat="false" ht="15" hidden="false" customHeight="false" outlineLevel="0" collapsed="false">
      <c r="A247" s="6" t="n">
        <f aca="false">Sheet2_Cleaned_Data!E246</f>
        <v>51781.6</v>
      </c>
      <c r="B247" s="6" t="n">
        <f aca="false">Sheet2_Cleaned_Data!F246</f>
        <v>5648</v>
      </c>
      <c r="C247" s="6" t="n">
        <f aca="false">Sheet2_Cleaned_Data!G246</f>
        <v>0.059</v>
      </c>
      <c r="D247" s="6" t="n">
        <f aca="false">Sheet2_Cleaned_Data!I246</f>
        <v>85.5</v>
      </c>
      <c r="E247" s="6" t="n">
        <f aca="false">Sheet3_Dummy_Variables!D246</f>
        <v>1</v>
      </c>
      <c r="F247" s="6" t="n">
        <f aca="false">Sheet3_Dummy_Variables!E246</f>
        <v>0</v>
      </c>
      <c r="G247" s="6" t="n">
        <f aca="false">Sheet3_Dummy_Variables!F246</f>
        <v>0</v>
      </c>
    </row>
    <row r="248" customFormat="false" ht="15" hidden="false" customHeight="false" outlineLevel="0" collapsed="false">
      <c r="A248" s="6" t="n">
        <f aca="false">Sheet2_Cleaned_Data!E247</f>
        <v>70799.64</v>
      </c>
      <c r="B248" s="6" t="n">
        <f aca="false">Sheet2_Cleaned_Data!F247</f>
        <v>10076</v>
      </c>
      <c r="C248" s="6" t="n">
        <f aca="false">Sheet2_Cleaned_Data!G247</f>
        <v>0.152</v>
      </c>
      <c r="D248" s="6" t="n">
        <f aca="false">Sheet2_Cleaned_Data!I247</f>
        <v>84.8</v>
      </c>
      <c r="E248" s="6" t="n">
        <f aca="false">Sheet3_Dummy_Variables!D247</f>
        <v>1</v>
      </c>
      <c r="F248" s="6" t="n">
        <f aca="false">Sheet3_Dummy_Variables!E247</f>
        <v>0</v>
      </c>
      <c r="G248" s="6" t="n">
        <f aca="false">Sheet3_Dummy_Variables!F247</f>
        <v>0</v>
      </c>
    </row>
    <row r="249" customFormat="false" ht="15" hidden="false" customHeight="false" outlineLevel="0" collapsed="false">
      <c r="A249" s="6" t="n">
        <f aca="false">Sheet2_Cleaned_Data!E248</f>
        <v>53546.34</v>
      </c>
      <c r="B249" s="6" t="n">
        <f aca="false">Sheet2_Cleaned_Data!F248</f>
        <v>8004</v>
      </c>
      <c r="C249" s="6" t="n">
        <f aca="false">Sheet2_Cleaned_Data!G248</f>
        <v>0</v>
      </c>
      <c r="D249" s="6" t="n">
        <f aca="false">Sheet2_Cleaned_Data!I248</f>
        <v>95.2</v>
      </c>
      <c r="E249" s="6" t="n">
        <f aca="false">Sheet3_Dummy_Variables!D248</f>
        <v>1</v>
      </c>
      <c r="F249" s="6" t="n">
        <f aca="false">Sheet3_Dummy_Variables!E248</f>
        <v>0</v>
      </c>
      <c r="G249" s="6" t="n">
        <f aca="false">Sheet3_Dummy_Variables!F248</f>
        <v>0</v>
      </c>
    </row>
    <row r="250" customFormat="false" ht="15" hidden="false" customHeight="false" outlineLevel="0" collapsed="false">
      <c r="A250" s="6" t="n">
        <f aca="false">Sheet2_Cleaned_Data!E249</f>
        <v>76942.2</v>
      </c>
      <c r="B250" s="6" t="n">
        <f aca="false">Sheet2_Cleaned_Data!F249</f>
        <v>8934</v>
      </c>
      <c r="C250" s="6" t="n">
        <f aca="false">Sheet2_Cleaned_Data!G249</f>
        <v>0.084</v>
      </c>
      <c r="D250" s="6" t="n">
        <f aca="false">Sheet2_Cleaned_Data!I249</f>
        <v>91</v>
      </c>
      <c r="E250" s="6" t="n">
        <f aca="false">Sheet3_Dummy_Variables!D249</f>
        <v>0</v>
      </c>
      <c r="F250" s="6" t="n">
        <f aca="false">Sheet3_Dummy_Variables!E249</f>
        <v>0</v>
      </c>
      <c r="G250" s="6" t="n">
        <f aca="false">Sheet3_Dummy_Variables!F249</f>
        <v>0</v>
      </c>
    </row>
    <row r="251" customFormat="false" ht="15" hidden="false" customHeight="false" outlineLevel="0" collapsed="false">
      <c r="A251" s="6" t="n">
        <f aca="false">Sheet2_Cleaned_Data!E250</f>
        <v>48060.78</v>
      </c>
      <c r="B251" s="6" t="n">
        <f aca="false">Sheet2_Cleaned_Data!F250</f>
        <v>8733</v>
      </c>
      <c r="C251" s="6" t="n">
        <f aca="false">Sheet2_Cleaned_Data!G250</f>
        <v>0</v>
      </c>
      <c r="D251" s="6" t="n">
        <f aca="false">Sheet2_Cleaned_Data!I250</f>
        <v>89.9</v>
      </c>
      <c r="E251" s="6" t="n">
        <f aca="false">Sheet3_Dummy_Variables!D250</f>
        <v>0</v>
      </c>
      <c r="F251" s="6" t="n">
        <f aca="false">Sheet3_Dummy_Variables!E250</f>
        <v>0</v>
      </c>
      <c r="G251" s="6" t="n">
        <f aca="false">Sheet3_Dummy_Variables!F250</f>
        <v>0</v>
      </c>
    </row>
    <row r="252" customFormat="false" ht="15" hidden="false" customHeight="false" outlineLevel="0" collapsed="false">
      <c r="A252" s="6" t="n">
        <f aca="false">Sheet2_Cleaned_Data!E251</f>
        <v>57390.04</v>
      </c>
      <c r="B252" s="6" t="n">
        <f aca="false">Sheet2_Cleaned_Data!F251</f>
        <v>7374</v>
      </c>
      <c r="C252" s="6" t="n">
        <f aca="false">Sheet2_Cleaned_Data!G251</f>
        <v>0.21</v>
      </c>
      <c r="D252" s="6" t="n">
        <f aca="false">Sheet2_Cleaned_Data!I251</f>
        <v>91.8</v>
      </c>
      <c r="E252" s="6" t="n">
        <f aca="false">Sheet3_Dummy_Variables!D251</f>
        <v>0</v>
      </c>
      <c r="F252" s="6" t="n">
        <f aca="false">Sheet3_Dummy_Variables!E251</f>
        <v>0</v>
      </c>
      <c r="G252" s="6" t="n">
        <f aca="false">Sheet3_Dummy_Variables!F251</f>
        <v>0</v>
      </c>
    </row>
    <row r="253" customFormat="false" ht="15" hidden="false" customHeight="false" outlineLevel="0" collapsed="false">
      <c r="A253" s="6" t="n">
        <f aca="false">Sheet2_Cleaned_Data!E252</f>
        <v>21536.18</v>
      </c>
      <c r="B253" s="6" t="n">
        <f aca="false">Sheet2_Cleaned_Data!F252</f>
        <v>8119</v>
      </c>
      <c r="C253" s="6" t="n">
        <f aca="false">Sheet2_Cleaned_Data!G252</f>
        <v>0.227</v>
      </c>
      <c r="D253" s="6" t="n">
        <f aca="false">Sheet2_Cleaned_Data!I252</f>
        <v>90.4</v>
      </c>
      <c r="E253" s="6" t="n">
        <f aca="false">Sheet3_Dummy_Variables!D252</f>
        <v>0</v>
      </c>
      <c r="F253" s="6" t="n">
        <f aca="false">Sheet3_Dummy_Variables!E252</f>
        <v>0</v>
      </c>
      <c r="G253" s="6" t="n">
        <f aca="false">Sheet3_Dummy_Variables!F252</f>
        <v>0</v>
      </c>
    </row>
    <row r="254" customFormat="false" ht="15" hidden="false" customHeight="false" outlineLevel="0" collapsed="false">
      <c r="A254" s="6" t="n">
        <f aca="false">Sheet2_Cleaned_Data!E253</f>
        <v>40923.67</v>
      </c>
      <c r="B254" s="6" t="n">
        <f aca="false">Sheet2_Cleaned_Data!F253</f>
        <v>3875</v>
      </c>
      <c r="C254" s="6" t="n">
        <f aca="false">Sheet2_Cleaned_Data!G253</f>
        <v>0.15</v>
      </c>
      <c r="D254" s="6" t="n">
        <f aca="false">Sheet2_Cleaned_Data!I253</f>
        <v>96.1</v>
      </c>
      <c r="E254" s="6" t="n">
        <f aca="false">Sheet3_Dummy_Variables!D253</f>
        <v>0</v>
      </c>
      <c r="F254" s="6" t="n">
        <f aca="false">Sheet3_Dummy_Variables!E253</f>
        <v>0</v>
      </c>
      <c r="G254" s="6" t="n">
        <f aca="false">Sheet3_Dummy_Variables!F253</f>
        <v>0</v>
      </c>
    </row>
    <row r="255" customFormat="false" ht="15" hidden="false" customHeight="false" outlineLevel="0" collapsed="false">
      <c r="A255" s="6" t="n">
        <f aca="false">Sheet2_Cleaned_Data!E254</f>
        <v>72932.55</v>
      </c>
      <c r="B255" s="6" t="n">
        <f aca="false">Sheet2_Cleaned_Data!F254</f>
        <v>5765</v>
      </c>
      <c r="C255" s="6" t="n">
        <f aca="false">Sheet2_Cleaned_Data!G254</f>
        <v>0.026</v>
      </c>
      <c r="D255" s="6" t="n">
        <f aca="false">Sheet2_Cleaned_Data!I254</f>
        <v>81.8</v>
      </c>
      <c r="E255" s="6" t="n">
        <f aca="false">Sheet3_Dummy_Variables!D254</f>
        <v>0</v>
      </c>
      <c r="F255" s="6" t="n">
        <f aca="false">Sheet3_Dummy_Variables!E254</f>
        <v>0</v>
      </c>
      <c r="G255" s="6" t="n">
        <f aca="false">Sheet3_Dummy_Variables!F254</f>
        <v>0</v>
      </c>
    </row>
    <row r="256" customFormat="false" ht="15" hidden="false" customHeight="false" outlineLevel="0" collapsed="false">
      <c r="A256" s="6" t="n">
        <f aca="false">Sheet2_Cleaned_Data!E255</f>
        <v>38361.93</v>
      </c>
      <c r="B256" s="6" t="n">
        <f aca="false">Sheet2_Cleaned_Data!F255</f>
        <v>6322</v>
      </c>
      <c r="C256" s="6" t="n">
        <f aca="false">Sheet2_Cleaned_Data!G255</f>
        <v>0.273</v>
      </c>
      <c r="D256" s="6" t="n">
        <f aca="false">Sheet2_Cleaned_Data!I255</f>
        <v>88.4</v>
      </c>
      <c r="E256" s="6" t="n">
        <f aca="false">Sheet3_Dummy_Variables!D255</f>
        <v>0</v>
      </c>
      <c r="F256" s="6" t="n">
        <f aca="false">Sheet3_Dummy_Variables!E255</f>
        <v>0</v>
      </c>
      <c r="G256" s="6" t="n">
        <f aca="false">Sheet3_Dummy_Variables!F255</f>
        <v>0</v>
      </c>
    </row>
    <row r="257" customFormat="false" ht="15" hidden="false" customHeight="false" outlineLevel="0" collapsed="false">
      <c r="A257" s="6" t="n">
        <f aca="false">Sheet2_Cleaned_Data!E256</f>
        <v>97480.94</v>
      </c>
      <c r="B257" s="6" t="n">
        <f aca="false">Sheet2_Cleaned_Data!F256</f>
        <v>6840</v>
      </c>
      <c r="C257" s="6" t="n">
        <f aca="false">Sheet2_Cleaned_Data!G256</f>
        <v>0.087</v>
      </c>
      <c r="D257" s="6" t="n">
        <f aca="false">Sheet2_Cleaned_Data!I256</f>
        <v>79.2</v>
      </c>
      <c r="E257" s="6" t="n">
        <f aca="false">Sheet3_Dummy_Variables!D256</f>
        <v>0</v>
      </c>
      <c r="F257" s="6" t="n">
        <f aca="false">Sheet3_Dummy_Variables!E256</f>
        <v>0</v>
      </c>
      <c r="G257" s="6" t="n">
        <f aca="false">Sheet3_Dummy_Variables!F256</f>
        <v>0</v>
      </c>
    </row>
    <row r="258" customFormat="false" ht="15" hidden="false" customHeight="false" outlineLevel="0" collapsed="false">
      <c r="A258" s="6" t="n">
        <f aca="false">Sheet2_Cleaned_Data!E257</f>
        <v>81801.8</v>
      </c>
      <c r="B258" s="6" t="n">
        <f aca="false">Sheet2_Cleaned_Data!F257</f>
        <v>6782</v>
      </c>
      <c r="C258" s="6" t="n">
        <f aca="false">Sheet2_Cleaned_Data!G257</f>
        <v>0.05</v>
      </c>
      <c r="D258" s="6" t="n">
        <f aca="false">Sheet2_Cleaned_Data!I257</f>
        <v>99</v>
      </c>
      <c r="E258" s="6" t="n">
        <f aca="false">Sheet3_Dummy_Variables!D257</f>
        <v>1</v>
      </c>
      <c r="F258" s="6" t="n">
        <f aca="false">Sheet3_Dummy_Variables!E257</f>
        <v>0</v>
      </c>
      <c r="G258" s="6" t="n">
        <f aca="false">Sheet3_Dummy_Variables!F257</f>
        <v>0</v>
      </c>
    </row>
    <row r="259" customFormat="false" ht="15" hidden="false" customHeight="false" outlineLevel="0" collapsed="false">
      <c r="A259" s="6" t="n">
        <f aca="false">Sheet2_Cleaned_Data!E258</f>
        <v>63582.11</v>
      </c>
      <c r="B259" s="6" t="n">
        <f aca="false">Sheet2_Cleaned_Data!F258</f>
        <v>6856</v>
      </c>
      <c r="C259" s="6" t="n">
        <f aca="false">Sheet2_Cleaned_Data!G258</f>
        <v>0.074</v>
      </c>
      <c r="D259" s="6" t="n">
        <f aca="false">Sheet2_Cleaned_Data!I258</f>
        <v>89.5</v>
      </c>
      <c r="E259" s="6" t="n">
        <f aca="false">Sheet3_Dummy_Variables!D258</f>
        <v>1</v>
      </c>
      <c r="F259" s="6" t="n">
        <f aca="false">Sheet3_Dummy_Variables!E258</f>
        <v>0</v>
      </c>
      <c r="G259" s="6" t="n">
        <f aca="false">Sheet3_Dummy_Variables!F258</f>
        <v>0</v>
      </c>
    </row>
    <row r="260" customFormat="false" ht="15" hidden="false" customHeight="false" outlineLevel="0" collapsed="false">
      <c r="A260" s="6" t="n">
        <f aca="false">Sheet2_Cleaned_Data!E259</f>
        <v>75412.74</v>
      </c>
      <c r="B260" s="6" t="n">
        <f aca="false">Sheet2_Cleaned_Data!F259</f>
        <v>5641</v>
      </c>
      <c r="C260" s="6" t="n">
        <f aca="false">Sheet2_Cleaned_Data!G259</f>
        <v>0.059</v>
      </c>
      <c r="D260" s="6" t="n">
        <f aca="false">Sheet2_Cleaned_Data!I259</f>
        <v>87.9</v>
      </c>
      <c r="E260" s="6" t="n">
        <f aca="false">Sheet3_Dummy_Variables!D259</f>
        <v>1</v>
      </c>
      <c r="F260" s="6" t="n">
        <f aca="false">Sheet3_Dummy_Variables!E259</f>
        <v>0</v>
      </c>
      <c r="G260" s="6" t="n">
        <f aca="false">Sheet3_Dummy_Variables!F259</f>
        <v>0</v>
      </c>
    </row>
    <row r="261" customFormat="false" ht="15" hidden="false" customHeight="false" outlineLevel="0" collapsed="false">
      <c r="A261" s="6" t="n">
        <f aca="false">Sheet2_Cleaned_Data!E260</f>
        <v>36290.08</v>
      </c>
      <c r="B261" s="6" t="n">
        <f aca="false">Sheet2_Cleaned_Data!F260</f>
        <v>5787</v>
      </c>
      <c r="C261" s="6" t="n">
        <f aca="false">Sheet2_Cleaned_Data!G260</f>
        <v>0</v>
      </c>
      <c r="D261" s="6" t="n">
        <f aca="false">Sheet2_Cleaned_Data!I260</f>
        <v>88.3</v>
      </c>
      <c r="E261" s="6" t="n">
        <f aca="false">Sheet3_Dummy_Variables!D260</f>
        <v>1</v>
      </c>
      <c r="F261" s="6" t="n">
        <f aca="false">Sheet3_Dummy_Variables!E260</f>
        <v>0</v>
      </c>
      <c r="G261" s="6" t="n">
        <f aca="false">Sheet3_Dummy_Variables!F260</f>
        <v>0</v>
      </c>
    </row>
    <row r="262" customFormat="false" ht="15" hidden="false" customHeight="false" outlineLevel="0" collapsed="false">
      <c r="A262" s="6" t="n">
        <f aca="false">Sheet2_Cleaned_Data!E261</f>
        <v>65272.58</v>
      </c>
      <c r="B262" s="6" t="n">
        <f aca="false">Sheet2_Cleaned_Data!F261</f>
        <v>8165</v>
      </c>
      <c r="C262" s="6" t="n">
        <f aca="false">Sheet2_Cleaned_Data!G261</f>
        <v>0.051</v>
      </c>
      <c r="D262" s="6" t="n">
        <f aca="false">Sheet2_Cleaned_Data!I261</f>
        <v>87.8</v>
      </c>
      <c r="E262" s="6" t="n">
        <f aca="false">Sheet3_Dummy_Variables!D261</f>
        <v>0</v>
      </c>
      <c r="F262" s="6" t="n">
        <f aca="false">Sheet3_Dummy_Variables!E261</f>
        <v>1</v>
      </c>
      <c r="G262" s="6" t="n">
        <f aca="false">Sheet3_Dummy_Variables!F261</f>
        <v>0</v>
      </c>
    </row>
    <row r="263" customFormat="false" ht="15" hidden="false" customHeight="false" outlineLevel="0" collapsed="false">
      <c r="A263" s="6" t="n">
        <f aca="false">Sheet2_Cleaned_Data!E262</f>
        <v>28670.43</v>
      </c>
      <c r="B263" s="6" t="n">
        <f aca="false">Sheet2_Cleaned_Data!F262</f>
        <v>7574</v>
      </c>
      <c r="C263" s="6" t="n">
        <f aca="false">Sheet2_Cleaned_Data!G262</f>
        <v>0.114</v>
      </c>
      <c r="D263" s="6" t="n">
        <f aca="false">Sheet2_Cleaned_Data!I262</f>
        <v>82.7</v>
      </c>
      <c r="E263" s="6" t="n">
        <f aca="false">Sheet3_Dummy_Variables!D262</f>
        <v>0</v>
      </c>
      <c r="F263" s="6" t="n">
        <f aca="false">Sheet3_Dummy_Variables!E262</f>
        <v>1</v>
      </c>
      <c r="G263" s="6" t="n">
        <f aca="false">Sheet3_Dummy_Variables!F262</f>
        <v>0</v>
      </c>
    </row>
    <row r="264" customFormat="false" ht="15" hidden="false" customHeight="false" outlineLevel="0" collapsed="false">
      <c r="A264" s="6" t="n">
        <f aca="false">Sheet2_Cleaned_Data!E263</f>
        <v>44189.34</v>
      </c>
      <c r="B264" s="6" t="n">
        <f aca="false">Sheet2_Cleaned_Data!F263</f>
        <v>8634</v>
      </c>
      <c r="C264" s="6" t="n">
        <f aca="false">Sheet2_Cleaned_Data!G263</f>
        <v>0.143</v>
      </c>
      <c r="D264" s="6" t="n">
        <f aca="false">Sheet2_Cleaned_Data!I263</f>
        <v>87.5</v>
      </c>
      <c r="E264" s="6" t="n">
        <f aca="false">Sheet3_Dummy_Variables!D263</f>
        <v>0</v>
      </c>
      <c r="F264" s="6" t="n">
        <f aca="false">Sheet3_Dummy_Variables!E263</f>
        <v>1</v>
      </c>
      <c r="G264" s="6" t="n">
        <f aca="false">Sheet3_Dummy_Variables!F263</f>
        <v>0</v>
      </c>
    </row>
    <row r="265" customFormat="false" ht="15" hidden="false" customHeight="false" outlineLevel="0" collapsed="false">
      <c r="A265" s="6" t="n">
        <f aca="false">Sheet2_Cleaned_Data!E264</f>
        <v>38397.82</v>
      </c>
      <c r="B265" s="6" t="n">
        <f aca="false">Sheet2_Cleaned_Data!F264</f>
        <v>7836</v>
      </c>
      <c r="C265" s="6" t="n">
        <f aca="false">Sheet2_Cleaned_Data!G264</f>
        <v>0.007</v>
      </c>
      <c r="D265" s="6" t="n">
        <f aca="false">Sheet2_Cleaned_Data!I264</f>
        <v>92.2</v>
      </c>
      <c r="E265" s="6" t="n">
        <f aca="false">Sheet3_Dummy_Variables!D264</f>
        <v>0</v>
      </c>
      <c r="F265" s="6" t="n">
        <f aca="false">Sheet3_Dummy_Variables!E264</f>
        <v>1</v>
      </c>
      <c r="G265" s="6" t="n">
        <f aca="false">Sheet3_Dummy_Variables!F264</f>
        <v>0</v>
      </c>
    </row>
    <row r="266" customFormat="false" ht="15" hidden="false" customHeight="false" outlineLevel="0" collapsed="false">
      <c r="A266" s="6" t="n">
        <f aca="false">Sheet2_Cleaned_Data!E265</f>
        <v>14519.37</v>
      </c>
      <c r="B266" s="6" t="n">
        <f aca="false">Sheet2_Cleaned_Data!F265</f>
        <v>3047</v>
      </c>
      <c r="C266" s="6" t="n">
        <f aca="false">Sheet2_Cleaned_Data!G265</f>
        <v>0.135</v>
      </c>
      <c r="D266" s="6" t="n">
        <f aca="false">Sheet2_Cleaned_Data!I265</f>
        <v>90.3</v>
      </c>
      <c r="E266" s="6" t="n">
        <f aca="false">Sheet3_Dummy_Variables!D265</f>
        <v>0</v>
      </c>
      <c r="F266" s="6" t="n">
        <f aca="false">Sheet3_Dummy_Variables!E265</f>
        <v>0</v>
      </c>
      <c r="G266" s="6" t="n">
        <f aca="false">Sheet3_Dummy_Variables!F265</f>
        <v>0</v>
      </c>
    </row>
    <row r="267" customFormat="false" ht="15" hidden="false" customHeight="false" outlineLevel="0" collapsed="false">
      <c r="A267" s="6" t="n">
        <f aca="false">Sheet2_Cleaned_Data!E266</f>
        <v>43288.2</v>
      </c>
      <c r="B267" s="6" t="n">
        <f aca="false">Sheet2_Cleaned_Data!F266</f>
        <v>4783</v>
      </c>
      <c r="C267" s="6" t="n">
        <f aca="false">Sheet2_Cleaned_Data!G266</f>
        <v>0.169</v>
      </c>
      <c r="D267" s="6" t="n">
        <f aca="false">Sheet2_Cleaned_Data!I266</f>
        <v>87.3</v>
      </c>
      <c r="E267" s="6" t="n">
        <f aca="false">Sheet3_Dummy_Variables!D266</f>
        <v>0</v>
      </c>
      <c r="F267" s="6" t="n">
        <f aca="false">Sheet3_Dummy_Variables!E266</f>
        <v>0</v>
      </c>
      <c r="G267" s="6" t="n">
        <f aca="false">Sheet3_Dummy_Variables!F266</f>
        <v>0</v>
      </c>
    </row>
    <row r="268" customFormat="false" ht="15" hidden="false" customHeight="false" outlineLevel="0" collapsed="false">
      <c r="A268" s="6" t="n">
        <f aca="false">Sheet2_Cleaned_Data!E267</f>
        <v>51450.55</v>
      </c>
      <c r="B268" s="6" t="n">
        <f aca="false">Sheet2_Cleaned_Data!F267</f>
        <v>4902</v>
      </c>
      <c r="C268" s="6" t="n">
        <f aca="false">Sheet2_Cleaned_Data!G267</f>
        <v>0.086</v>
      </c>
      <c r="D268" s="6" t="n">
        <f aca="false">Sheet2_Cleaned_Data!I267</f>
        <v>83.7</v>
      </c>
      <c r="E268" s="6" t="n">
        <f aca="false">Sheet3_Dummy_Variables!D267</f>
        <v>0</v>
      </c>
      <c r="F268" s="6" t="n">
        <f aca="false">Sheet3_Dummy_Variables!E267</f>
        <v>0</v>
      </c>
      <c r="G268" s="6" t="n">
        <f aca="false">Sheet3_Dummy_Variables!F267</f>
        <v>0</v>
      </c>
    </row>
    <row r="269" customFormat="false" ht="15" hidden="false" customHeight="false" outlineLevel="0" collapsed="false">
      <c r="A269" s="6" t="n">
        <f aca="false">Sheet2_Cleaned_Data!E268</f>
        <v>58688.26</v>
      </c>
      <c r="B269" s="6" t="n">
        <f aca="false">Sheet2_Cleaned_Data!F268</f>
        <v>4022</v>
      </c>
      <c r="C269" s="6" t="n">
        <f aca="false">Sheet2_Cleaned_Data!G268</f>
        <v>0.217</v>
      </c>
      <c r="D269" s="6" t="n">
        <f aca="false">Sheet2_Cleaned_Data!I268</f>
        <v>93.8</v>
      </c>
      <c r="E269" s="6" t="n">
        <f aca="false">Sheet3_Dummy_Variables!D268</f>
        <v>0</v>
      </c>
      <c r="F269" s="6" t="n">
        <f aca="false">Sheet3_Dummy_Variables!E268</f>
        <v>0</v>
      </c>
      <c r="G269" s="6" t="n">
        <f aca="false">Sheet3_Dummy_Variables!F268</f>
        <v>0</v>
      </c>
    </row>
    <row r="270" customFormat="false" ht="15" hidden="false" customHeight="false" outlineLevel="0" collapsed="false">
      <c r="A270" s="6" t="n">
        <f aca="false">Sheet2_Cleaned_Data!E269</f>
        <v>58981.91</v>
      </c>
      <c r="B270" s="6" t="n">
        <f aca="false">Sheet2_Cleaned_Data!F269</f>
        <v>7324</v>
      </c>
      <c r="C270" s="6" t="n">
        <f aca="false">Sheet2_Cleaned_Data!G269</f>
        <v>0.094</v>
      </c>
      <c r="D270" s="6" t="n">
        <f aca="false">Sheet2_Cleaned_Data!I269</f>
        <v>95.8</v>
      </c>
      <c r="E270" s="6" t="n">
        <f aca="false">Sheet3_Dummy_Variables!D269</f>
        <v>0</v>
      </c>
      <c r="F270" s="6" t="n">
        <f aca="false">Sheet3_Dummy_Variables!E269</f>
        <v>0</v>
      </c>
      <c r="G270" s="6" t="n">
        <f aca="false">Sheet3_Dummy_Variables!F269</f>
        <v>0</v>
      </c>
    </row>
    <row r="271" customFormat="false" ht="15" hidden="false" customHeight="false" outlineLevel="0" collapsed="false">
      <c r="A271" s="6" t="n">
        <f aca="false">Sheet2_Cleaned_Data!E270</f>
        <v>73454.54</v>
      </c>
      <c r="B271" s="6" t="n">
        <f aca="false">Sheet2_Cleaned_Data!F270</f>
        <v>8129</v>
      </c>
      <c r="C271" s="6" t="n">
        <f aca="false">Sheet2_Cleaned_Data!G270</f>
        <v>0.211</v>
      </c>
      <c r="D271" s="6" t="n">
        <f aca="false">Sheet2_Cleaned_Data!I270</f>
        <v>85.2</v>
      </c>
      <c r="E271" s="6" t="n">
        <f aca="false">Sheet3_Dummy_Variables!D270</f>
        <v>0</v>
      </c>
      <c r="F271" s="6" t="n">
        <f aca="false">Sheet3_Dummy_Variables!E270</f>
        <v>0</v>
      </c>
      <c r="G271" s="6" t="n">
        <f aca="false">Sheet3_Dummy_Variables!F270</f>
        <v>0</v>
      </c>
    </row>
    <row r="272" customFormat="false" ht="15" hidden="false" customHeight="false" outlineLevel="0" collapsed="false">
      <c r="A272" s="6" t="n">
        <f aca="false">Sheet2_Cleaned_Data!E271</f>
        <v>56602.39</v>
      </c>
      <c r="B272" s="6" t="n">
        <f aca="false">Sheet2_Cleaned_Data!F271</f>
        <v>7969</v>
      </c>
      <c r="C272" s="6" t="n">
        <f aca="false">Sheet2_Cleaned_Data!G271</f>
        <v>0.17</v>
      </c>
      <c r="D272" s="6" t="n">
        <f aca="false">Sheet2_Cleaned_Data!I271</f>
        <v>88.3</v>
      </c>
      <c r="E272" s="6" t="n">
        <f aca="false">Sheet3_Dummy_Variables!D271</f>
        <v>0</v>
      </c>
      <c r="F272" s="6" t="n">
        <f aca="false">Sheet3_Dummy_Variables!E271</f>
        <v>0</v>
      </c>
      <c r="G272" s="6" t="n">
        <f aca="false">Sheet3_Dummy_Variables!F271</f>
        <v>0</v>
      </c>
    </row>
    <row r="273" customFormat="false" ht="15" hidden="false" customHeight="false" outlineLevel="0" collapsed="false">
      <c r="A273" s="6" t="n">
        <f aca="false">Sheet2_Cleaned_Data!E272</f>
        <v>67722.29</v>
      </c>
      <c r="B273" s="6" t="n">
        <f aca="false">Sheet2_Cleaned_Data!F272</f>
        <v>7240</v>
      </c>
      <c r="C273" s="6" t="n">
        <f aca="false">Sheet2_Cleaned_Data!G272</f>
        <v>0.026</v>
      </c>
      <c r="D273" s="6" t="n">
        <f aca="false">Sheet2_Cleaned_Data!I272</f>
        <v>92.9</v>
      </c>
      <c r="E273" s="6" t="n">
        <f aca="false">Sheet3_Dummy_Variables!D272</f>
        <v>0</v>
      </c>
      <c r="F273" s="6" t="n">
        <f aca="false">Sheet3_Dummy_Variables!E272</f>
        <v>0</v>
      </c>
      <c r="G273" s="6" t="n">
        <f aca="false">Sheet3_Dummy_Variables!F272</f>
        <v>0</v>
      </c>
    </row>
    <row r="274" customFormat="false" ht="15" hidden="false" customHeight="false" outlineLevel="0" collapsed="false">
      <c r="A274" s="6" t="n">
        <f aca="false">Sheet2_Cleaned_Data!E273</f>
        <v>48752.92</v>
      </c>
      <c r="B274" s="6" t="n">
        <f aca="false">Sheet2_Cleaned_Data!F273</f>
        <v>8052</v>
      </c>
      <c r="C274" s="6" t="n">
        <f aca="false">Sheet2_Cleaned_Data!G273</f>
        <v>0.106</v>
      </c>
      <c r="D274" s="6" t="n">
        <f aca="false">Sheet2_Cleaned_Data!I273</f>
        <v>94.9</v>
      </c>
      <c r="E274" s="6" t="n">
        <f aca="false">Sheet3_Dummy_Variables!D273</f>
        <v>0</v>
      </c>
      <c r="F274" s="6" t="n">
        <f aca="false">Sheet3_Dummy_Variables!E273</f>
        <v>1</v>
      </c>
      <c r="G274" s="6" t="n">
        <f aca="false">Sheet3_Dummy_Variables!F273</f>
        <v>0</v>
      </c>
    </row>
    <row r="275" customFormat="false" ht="15" hidden="false" customHeight="false" outlineLevel="0" collapsed="false">
      <c r="A275" s="6" t="n">
        <f aca="false">Sheet2_Cleaned_Data!E274</f>
        <v>23914.97</v>
      </c>
      <c r="B275" s="6" t="n">
        <f aca="false">Sheet2_Cleaned_Data!F274</f>
        <v>8018</v>
      </c>
      <c r="C275" s="6" t="n">
        <f aca="false">Sheet2_Cleaned_Data!G274</f>
        <v>0.139</v>
      </c>
      <c r="D275" s="6" t="n">
        <f aca="false">Sheet2_Cleaned_Data!I274</f>
        <v>89</v>
      </c>
      <c r="E275" s="6" t="n">
        <f aca="false">Sheet3_Dummy_Variables!D274</f>
        <v>0</v>
      </c>
      <c r="F275" s="6" t="n">
        <f aca="false">Sheet3_Dummy_Variables!E274</f>
        <v>1</v>
      </c>
      <c r="G275" s="6" t="n">
        <f aca="false">Sheet3_Dummy_Variables!F274</f>
        <v>0</v>
      </c>
    </row>
    <row r="276" customFormat="false" ht="15" hidden="false" customHeight="false" outlineLevel="0" collapsed="false">
      <c r="A276" s="6" t="n">
        <f aca="false">Sheet2_Cleaned_Data!E275</f>
        <v>61995.3</v>
      </c>
      <c r="B276" s="6" t="n">
        <f aca="false">Sheet2_Cleaned_Data!F275</f>
        <v>10192</v>
      </c>
      <c r="C276" s="6" t="n">
        <f aca="false">Sheet2_Cleaned_Data!G275</f>
        <v>0.198</v>
      </c>
      <c r="D276" s="6" t="n">
        <f aca="false">Sheet2_Cleaned_Data!I275</f>
        <v>87.6</v>
      </c>
      <c r="E276" s="6" t="n">
        <f aca="false">Sheet3_Dummy_Variables!D275</f>
        <v>0</v>
      </c>
      <c r="F276" s="6" t="n">
        <f aca="false">Sheet3_Dummy_Variables!E275</f>
        <v>1</v>
      </c>
      <c r="G276" s="6" t="n">
        <f aca="false">Sheet3_Dummy_Variables!F275</f>
        <v>0</v>
      </c>
    </row>
    <row r="277" customFormat="false" ht="15" hidden="false" customHeight="false" outlineLevel="0" collapsed="false">
      <c r="A277" s="6" t="n">
        <f aca="false">Sheet2_Cleaned_Data!E276</f>
        <v>29344.93</v>
      </c>
      <c r="B277" s="6" t="n">
        <f aca="false">Sheet2_Cleaned_Data!F276</f>
        <v>7446</v>
      </c>
      <c r="C277" s="6" t="n">
        <f aca="false">Sheet2_Cleaned_Data!G276</f>
        <v>0.111</v>
      </c>
      <c r="D277" s="6" t="n">
        <f aca="false">Sheet2_Cleaned_Data!I276</f>
        <v>86.2</v>
      </c>
      <c r="E277" s="6" t="n">
        <f aca="false">Sheet3_Dummy_Variables!D276</f>
        <v>0</v>
      </c>
      <c r="F277" s="6" t="n">
        <f aca="false">Sheet3_Dummy_Variables!E276</f>
        <v>1</v>
      </c>
      <c r="G277" s="6" t="n">
        <f aca="false">Sheet3_Dummy_Variables!F276</f>
        <v>0</v>
      </c>
    </row>
    <row r="278" customFormat="false" ht="15" hidden="false" customHeight="false" outlineLevel="0" collapsed="false">
      <c r="A278" s="6" t="n">
        <f aca="false">Sheet2_Cleaned_Data!E277</f>
        <v>50532.17</v>
      </c>
      <c r="B278" s="6" t="n">
        <f aca="false">Sheet2_Cleaned_Data!F277</f>
        <v>5689</v>
      </c>
      <c r="C278" s="6" t="n">
        <f aca="false">Sheet2_Cleaned_Data!G277</f>
        <v>0.052</v>
      </c>
      <c r="D278" s="6" t="n">
        <f aca="false">Sheet2_Cleaned_Data!I277</f>
        <v>85.6</v>
      </c>
      <c r="E278" s="6" t="n">
        <f aca="false">Sheet3_Dummy_Variables!D277</f>
        <v>0</v>
      </c>
      <c r="F278" s="6" t="n">
        <f aca="false">Sheet3_Dummy_Variables!E277</f>
        <v>0</v>
      </c>
      <c r="G278" s="6" t="n">
        <f aca="false">Sheet3_Dummy_Variables!F277</f>
        <v>0</v>
      </c>
    </row>
    <row r="279" customFormat="false" ht="15" hidden="false" customHeight="false" outlineLevel="0" collapsed="false">
      <c r="A279" s="6" t="n">
        <f aca="false">Sheet2_Cleaned_Data!E278</f>
        <v>17562.57</v>
      </c>
      <c r="B279" s="6" t="n">
        <f aca="false">Sheet2_Cleaned_Data!F278</f>
        <v>3326</v>
      </c>
      <c r="C279" s="6" t="n">
        <f aca="false">Sheet2_Cleaned_Data!G278</f>
        <v>0.153</v>
      </c>
      <c r="D279" s="6" t="n">
        <f aca="false">Sheet2_Cleaned_Data!I278</f>
        <v>88.1</v>
      </c>
      <c r="E279" s="6" t="n">
        <f aca="false">Sheet3_Dummy_Variables!D278</f>
        <v>0</v>
      </c>
      <c r="F279" s="6" t="n">
        <f aca="false">Sheet3_Dummy_Variables!E278</f>
        <v>0</v>
      </c>
      <c r="G279" s="6" t="n">
        <f aca="false">Sheet3_Dummy_Variables!F278</f>
        <v>0</v>
      </c>
    </row>
    <row r="280" customFormat="false" ht="15" hidden="false" customHeight="false" outlineLevel="0" collapsed="false">
      <c r="A280" s="6" t="n">
        <f aca="false">Sheet2_Cleaned_Data!E279</f>
        <v>47648.71</v>
      </c>
      <c r="B280" s="6" t="n">
        <f aca="false">Sheet2_Cleaned_Data!F279</f>
        <v>5767</v>
      </c>
      <c r="C280" s="6" t="n">
        <f aca="false">Sheet2_Cleaned_Data!G279</f>
        <v>0.141</v>
      </c>
      <c r="D280" s="6" t="n">
        <f aca="false">Sheet2_Cleaned_Data!I279</f>
        <v>89.8</v>
      </c>
      <c r="E280" s="6" t="n">
        <f aca="false">Sheet3_Dummy_Variables!D279</f>
        <v>0</v>
      </c>
      <c r="F280" s="6" t="n">
        <f aca="false">Sheet3_Dummy_Variables!E279</f>
        <v>0</v>
      </c>
      <c r="G280" s="6" t="n">
        <f aca="false">Sheet3_Dummy_Variables!F279</f>
        <v>0</v>
      </c>
    </row>
    <row r="281" customFormat="false" ht="15" hidden="false" customHeight="false" outlineLevel="0" collapsed="false">
      <c r="A281" s="6" t="n">
        <f aca="false">Sheet2_Cleaned_Data!E280</f>
        <v>38297.58</v>
      </c>
      <c r="B281" s="6" t="n">
        <f aca="false">Sheet2_Cleaned_Data!F280</f>
        <v>5893</v>
      </c>
      <c r="C281" s="6" t="n">
        <f aca="false">Sheet2_Cleaned_Data!G280</f>
        <v>0.247</v>
      </c>
      <c r="D281" s="6" t="n">
        <f aca="false">Sheet2_Cleaned_Data!I280</f>
        <v>77.6</v>
      </c>
      <c r="E281" s="6" t="n">
        <f aca="false">Sheet3_Dummy_Variables!D280</f>
        <v>0</v>
      </c>
      <c r="F281" s="6" t="n">
        <f aca="false">Sheet3_Dummy_Variables!E280</f>
        <v>0</v>
      </c>
      <c r="G281" s="6" t="n">
        <f aca="false">Sheet3_Dummy_Variables!F280</f>
        <v>0</v>
      </c>
    </row>
    <row r="282" customFormat="false" ht="15" hidden="false" customHeight="false" outlineLevel="0" collapsed="false">
      <c r="A282" s="6" t="n">
        <f aca="false">Sheet2_Cleaned_Data!E281</f>
        <v>61784.11</v>
      </c>
      <c r="B282" s="6" t="n">
        <f aca="false">Sheet2_Cleaned_Data!F281</f>
        <v>8564</v>
      </c>
      <c r="C282" s="6" t="n">
        <f aca="false">Sheet2_Cleaned_Data!G281</f>
        <v>0.13</v>
      </c>
      <c r="D282" s="6" t="n">
        <f aca="false">Sheet2_Cleaned_Data!I281</f>
        <v>87.4</v>
      </c>
      <c r="E282" s="6" t="n">
        <f aca="false">Sheet3_Dummy_Variables!D281</f>
        <v>0</v>
      </c>
      <c r="F282" s="6" t="n">
        <f aca="false">Sheet3_Dummy_Variables!E281</f>
        <v>0</v>
      </c>
      <c r="G282" s="6" t="n">
        <f aca="false">Sheet3_Dummy_Variables!F281</f>
        <v>1</v>
      </c>
    </row>
    <row r="283" customFormat="false" ht="15" hidden="false" customHeight="false" outlineLevel="0" collapsed="false">
      <c r="A283" s="6" t="n">
        <f aca="false">Sheet2_Cleaned_Data!E282</f>
        <v>36832.33</v>
      </c>
      <c r="B283" s="6" t="n">
        <f aca="false">Sheet2_Cleaned_Data!F282</f>
        <v>8001</v>
      </c>
      <c r="C283" s="6" t="n">
        <f aca="false">Sheet2_Cleaned_Data!G282</f>
        <v>0</v>
      </c>
      <c r="D283" s="6" t="n">
        <f aca="false">Sheet2_Cleaned_Data!I282</f>
        <v>88.7</v>
      </c>
      <c r="E283" s="6" t="n">
        <f aca="false">Sheet3_Dummy_Variables!D282</f>
        <v>0</v>
      </c>
      <c r="F283" s="6" t="n">
        <f aca="false">Sheet3_Dummy_Variables!E282</f>
        <v>0</v>
      </c>
      <c r="G283" s="6" t="n">
        <f aca="false">Sheet3_Dummy_Variables!F282</f>
        <v>1</v>
      </c>
    </row>
    <row r="284" customFormat="false" ht="15" hidden="false" customHeight="false" outlineLevel="0" collapsed="false">
      <c r="A284" s="6" t="n">
        <f aca="false">Sheet2_Cleaned_Data!E283</f>
        <v>48609.41</v>
      </c>
      <c r="B284" s="6" t="n">
        <f aca="false">Sheet2_Cleaned_Data!F283</f>
        <v>9324</v>
      </c>
      <c r="C284" s="6" t="n">
        <f aca="false">Sheet2_Cleaned_Data!G283</f>
        <v>0.213</v>
      </c>
      <c r="D284" s="6" t="n">
        <f aca="false">Sheet2_Cleaned_Data!I283</f>
        <v>86.5</v>
      </c>
      <c r="E284" s="6" t="n">
        <f aca="false">Sheet3_Dummy_Variables!D283</f>
        <v>0</v>
      </c>
      <c r="F284" s="6" t="n">
        <f aca="false">Sheet3_Dummy_Variables!E283</f>
        <v>0</v>
      </c>
      <c r="G284" s="6" t="n">
        <f aca="false">Sheet3_Dummy_Variables!F283</f>
        <v>1</v>
      </c>
    </row>
    <row r="285" customFormat="false" ht="15" hidden="false" customHeight="false" outlineLevel="0" collapsed="false">
      <c r="A285" s="6" t="n">
        <f aca="false">Sheet2_Cleaned_Data!E284</f>
        <v>70284.06</v>
      </c>
      <c r="B285" s="6" t="n">
        <f aca="false">Sheet2_Cleaned_Data!F284</f>
        <v>9109</v>
      </c>
      <c r="C285" s="6" t="n">
        <f aca="false">Sheet2_Cleaned_Data!G284</f>
        <v>0.004</v>
      </c>
      <c r="D285" s="6" t="n">
        <f aca="false">Sheet2_Cleaned_Data!I284</f>
        <v>87</v>
      </c>
      <c r="E285" s="6" t="n">
        <f aca="false">Sheet3_Dummy_Variables!D284</f>
        <v>0</v>
      </c>
      <c r="F285" s="6" t="n">
        <f aca="false">Sheet3_Dummy_Variables!E284</f>
        <v>0</v>
      </c>
      <c r="G285" s="6" t="n">
        <f aca="false">Sheet3_Dummy_Variables!F284</f>
        <v>1</v>
      </c>
    </row>
    <row r="286" customFormat="false" ht="15" hidden="false" customHeight="false" outlineLevel="0" collapsed="false">
      <c r="A286" s="6" t="n">
        <f aca="false">Sheet2_Cleaned_Data!E285</f>
        <v>45940.39</v>
      </c>
      <c r="B286" s="6" t="n">
        <f aca="false">Sheet2_Cleaned_Data!F285</f>
        <v>4022</v>
      </c>
      <c r="C286" s="6" t="n">
        <f aca="false">Sheet2_Cleaned_Data!G285</f>
        <v>0.069</v>
      </c>
      <c r="D286" s="6" t="n">
        <f aca="false">Sheet2_Cleaned_Data!I285</f>
        <v>83</v>
      </c>
      <c r="E286" s="6" t="n">
        <f aca="false">Sheet3_Dummy_Variables!D285</f>
        <v>0</v>
      </c>
      <c r="F286" s="6" t="n">
        <f aca="false">Sheet3_Dummy_Variables!E285</f>
        <v>0</v>
      </c>
      <c r="G286" s="6" t="n">
        <f aca="false">Sheet3_Dummy_Variables!F285</f>
        <v>0</v>
      </c>
    </row>
    <row r="287" customFormat="false" ht="15" hidden="false" customHeight="false" outlineLevel="0" collapsed="false">
      <c r="A287" s="6" t="n">
        <f aca="false">Sheet2_Cleaned_Data!E286</f>
        <v>34771.26</v>
      </c>
      <c r="B287" s="6" t="n">
        <f aca="false">Sheet2_Cleaned_Data!F286</f>
        <v>4355</v>
      </c>
      <c r="C287" s="6" t="n">
        <f aca="false">Sheet2_Cleaned_Data!G286</f>
        <v>0.051</v>
      </c>
      <c r="D287" s="6" t="n">
        <f aca="false">Sheet2_Cleaned_Data!I286</f>
        <v>87.9</v>
      </c>
      <c r="E287" s="6" t="n">
        <f aca="false">Sheet3_Dummy_Variables!D286</f>
        <v>0</v>
      </c>
      <c r="F287" s="6" t="n">
        <f aca="false">Sheet3_Dummy_Variables!E286</f>
        <v>0</v>
      </c>
      <c r="G287" s="6" t="n">
        <f aca="false">Sheet3_Dummy_Variables!F286</f>
        <v>0</v>
      </c>
    </row>
    <row r="288" customFormat="false" ht="15" hidden="false" customHeight="false" outlineLevel="0" collapsed="false">
      <c r="A288" s="6" t="n">
        <f aca="false">Sheet2_Cleaned_Data!E287</f>
        <v>66104.19</v>
      </c>
      <c r="B288" s="6" t="n">
        <f aca="false">Sheet2_Cleaned_Data!F287</f>
        <v>5745</v>
      </c>
      <c r="C288" s="6" t="n">
        <f aca="false">Sheet2_Cleaned_Data!G287</f>
        <v>0.07</v>
      </c>
      <c r="D288" s="6" t="n">
        <f aca="false">Sheet2_Cleaned_Data!I287</f>
        <v>95.8</v>
      </c>
      <c r="E288" s="6" t="n">
        <f aca="false">Sheet3_Dummy_Variables!D287</f>
        <v>0</v>
      </c>
      <c r="F288" s="6" t="n">
        <f aca="false">Sheet3_Dummy_Variables!E287</f>
        <v>0</v>
      </c>
      <c r="G288" s="6" t="n">
        <f aca="false">Sheet3_Dummy_Variables!F287</f>
        <v>0</v>
      </c>
    </row>
    <row r="289" customFormat="false" ht="15" hidden="false" customHeight="false" outlineLevel="0" collapsed="false">
      <c r="A289" s="6" t="n">
        <f aca="false">Sheet2_Cleaned_Data!E288</f>
        <v>18599.21</v>
      </c>
      <c r="B289" s="6" t="n">
        <f aca="false">Sheet2_Cleaned_Data!F288</f>
        <v>3027</v>
      </c>
      <c r="C289" s="6" t="n">
        <f aca="false">Sheet2_Cleaned_Data!G288</f>
        <v>0.122</v>
      </c>
      <c r="D289" s="6" t="n">
        <f aca="false">Sheet2_Cleaned_Data!I288</f>
        <v>80.9</v>
      </c>
      <c r="E289" s="6" t="n">
        <f aca="false">Sheet3_Dummy_Variables!D288</f>
        <v>0</v>
      </c>
      <c r="F289" s="6" t="n">
        <f aca="false">Sheet3_Dummy_Variables!E288</f>
        <v>0</v>
      </c>
      <c r="G289" s="6" t="n">
        <f aca="false">Sheet3_Dummy_Variables!F288</f>
        <v>0</v>
      </c>
    </row>
    <row r="290" customFormat="false" ht="15" hidden="false" customHeight="false" outlineLevel="0" collapsed="false">
      <c r="A290" s="6" t="n">
        <f aca="false">Sheet2_Cleaned_Data!E289</f>
        <v>60183.06</v>
      </c>
      <c r="B290" s="6" t="n">
        <f aca="false">Sheet2_Cleaned_Data!F289</f>
        <v>5562</v>
      </c>
      <c r="C290" s="6" t="n">
        <f aca="false">Sheet2_Cleaned_Data!G289</f>
        <v>0.009</v>
      </c>
      <c r="D290" s="6" t="n">
        <f aca="false">Sheet2_Cleaned_Data!I289</f>
        <v>86.3</v>
      </c>
      <c r="E290" s="6" t="n">
        <f aca="false">Sheet3_Dummy_Variables!D289</f>
        <v>0</v>
      </c>
      <c r="F290" s="6" t="n">
        <f aca="false">Sheet3_Dummy_Variables!E289</f>
        <v>0</v>
      </c>
      <c r="G290" s="6" t="n">
        <f aca="false">Sheet3_Dummy_Variables!F289</f>
        <v>1</v>
      </c>
    </row>
    <row r="291" customFormat="false" ht="15" hidden="false" customHeight="false" outlineLevel="0" collapsed="false">
      <c r="A291" s="6" t="n">
        <f aca="false">Sheet2_Cleaned_Data!E290</f>
        <v>74539.14</v>
      </c>
      <c r="B291" s="6" t="n">
        <f aca="false">Sheet2_Cleaned_Data!F290</f>
        <v>4487</v>
      </c>
      <c r="C291" s="6" t="n">
        <f aca="false">Sheet2_Cleaned_Data!G290</f>
        <v>0.14</v>
      </c>
      <c r="D291" s="6" t="n">
        <f aca="false">Sheet2_Cleaned_Data!I290</f>
        <v>90.4</v>
      </c>
      <c r="E291" s="6" t="n">
        <f aca="false">Sheet3_Dummy_Variables!D290</f>
        <v>0</v>
      </c>
      <c r="F291" s="6" t="n">
        <f aca="false">Sheet3_Dummy_Variables!E290</f>
        <v>0</v>
      </c>
      <c r="G291" s="6" t="n">
        <f aca="false">Sheet3_Dummy_Variables!F290</f>
        <v>1</v>
      </c>
    </row>
    <row r="292" customFormat="false" ht="15" hidden="false" customHeight="false" outlineLevel="0" collapsed="false">
      <c r="A292" s="6" t="n">
        <f aca="false">Sheet2_Cleaned_Data!E291</f>
        <v>55371.97</v>
      </c>
      <c r="B292" s="6" t="n">
        <f aca="false">Sheet2_Cleaned_Data!F291</f>
        <v>4162</v>
      </c>
      <c r="C292" s="6" t="n">
        <f aca="false">Sheet2_Cleaned_Data!G291</f>
        <v>0.183</v>
      </c>
      <c r="D292" s="6" t="n">
        <f aca="false">Sheet2_Cleaned_Data!I291</f>
        <v>92</v>
      </c>
      <c r="E292" s="6" t="n">
        <f aca="false">Sheet3_Dummy_Variables!D291</f>
        <v>0</v>
      </c>
      <c r="F292" s="6" t="n">
        <f aca="false">Sheet3_Dummy_Variables!E291</f>
        <v>0</v>
      </c>
      <c r="G292" s="6" t="n">
        <f aca="false">Sheet3_Dummy_Variables!F291</f>
        <v>1</v>
      </c>
    </row>
    <row r="293" customFormat="false" ht="15" hidden="false" customHeight="false" outlineLevel="0" collapsed="false">
      <c r="A293" s="6" t="n">
        <f aca="false">Sheet2_Cleaned_Data!E292</f>
        <v>40928.69</v>
      </c>
      <c r="B293" s="6" t="n">
        <f aca="false">Sheet2_Cleaned_Data!F292</f>
        <v>4094</v>
      </c>
      <c r="C293" s="6" t="n">
        <f aca="false">Sheet2_Cleaned_Data!G292</f>
        <v>0.174</v>
      </c>
      <c r="D293" s="6" t="n">
        <f aca="false">Sheet2_Cleaned_Data!I292</f>
        <v>82.4</v>
      </c>
      <c r="E293" s="6" t="n">
        <f aca="false">Sheet3_Dummy_Variables!D292</f>
        <v>0</v>
      </c>
      <c r="F293" s="6" t="n">
        <f aca="false">Sheet3_Dummy_Variables!E292</f>
        <v>0</v>
      </c>
      <c r="G293" s="6" t="n">
        <f aca="false">Sheet3_Dummy_Variables!F292</f>
        <v>1</v>
      </c>
    </row>
    <row r="294" customFormat="false" ht="15" hidden="false" customHeight="false" outlineLevel="0" collapsed="false">
      <c r="A294" s="6" t="n">
        <f aca="false">Sheet2_Cleaned_Data!E293</f>
        <v>70012.41</v>
      </c>
      <c r="B294" s="6" t="n">
        <f aca="false">Sheet2_Cleaned_Data!F293</f>
        <v>8484</v>
      </c>
      <c r="C294" s="6" t="n">
        <f aca="false">Sheet2_Cleaned_Data!G293</f>
        <v>0.273</v>
      </c>
      <c r="D294" s="6" t="n">
        <f aca="false">Sheet2_Cleaned_Data!I293</f>
        <v>72.9</v>
      </c>
      <c r="E294" s="6" t="n">
        <f aca="false">Sheet3_Dummy_Variables!D293</f>
        <v>0</v>
      </c>
      <c r="F294" s="6" t="n">
        <f aca="false">Sheet3_Dummy_Variables!E293</f>
        <v>0</v>
      </c>
      <c r="G294" s="6" t="n">
        <f aca="false">Sheet3_Dummy_Variables!F293</f>
        <v>1</v>
      </c>
    </row>
    <row r="295" customFormat="false" ht="15" hidden="false" customHeight="false" outlineLevel="0" collapsed="false">
      <c r="A295" s="6" t="n">
        <f aca="false">Sheet2_Cleaned_Data!E294</f>
        <v>68909.26</v>
      </c>
      <c r="B295" s="6" t="n">
        <f aca="false">Sheet2_Cleaned_Data!F294</f>
        <v>7794</v>
      </c>
      <c r="C295" s="6" t="n">
        <f aca="false">Sheet2_Cleaned_Data!G294</f>
        <v>0.284</v>
      </c>
      <c r="D295" s="6" t="n">
        <f aca="false">Sheet2_Cleaned_Data!I294</f>
        <v>89</v>
      </c>
      <c r="E295" s="6" t="n">
        <f aca="false">Sheet3_Dummy_Variables!D294</f>
        <v>0</v>
      </c>
      <c r="F295" s="6" t="n">
        <f aca="false">Sheet3_Dummy_Variables!E294</f>
        <v>0</v>
      </c>
      <c r="G295" s="6" t="n">
        <f aca="false">Sheet3_Dummy_Variables!F294</f>
        <v>1</v>
      </c>
    </row>
    <row r="296" customFormat="false" ht="15" hidden="false" customHeight="false" outlineLevel="0" collapsed="false">
      <c r="A296" s="6" t="n">
        <f aca="false">Sheet2_Cleaned_Data!E295</f>
        <v>56737.3</v>
      </c>
      <c r="B296" s="6" t="n">
        <f aca="false">Sheet2_Cleaned_Data!F295</f>
        <v>8300</v>
      </c>
      <c r="C296" s="6" t="n">
        <f aca="false">Sheet2_Cleaned_Data!G295</f>
        <v>0.032</v>
      </c>
      <c r="D296" s="6" t="n">
        <f aca="false">Sheet2_Cleaned_Data!I295</f>
        <v>83.2</v>
      </c>
      <c r="E296" s="6" t="n">
        <f aca="false">Sheet3_Dummy_Variables!D295</f>
        <v>0</v>
      </c>
      <c r="F296" s="6" t="n">
        <f aca="false">Sheet3_Dummy_Variables!E295</f>
        <v>0</v>
      </c>
      <c r="G296" s="6" t="n">
        <f aca="false">Sheet3_Dummy_Variables!F295</f>
        <v>1</v>
      </c>
    </row>
    <row r="297" customFormat="false" ht="15" hidden="false" customHeight="false" outlineLevel="0" collapsed="false">
      <c r="A297" s="6" t="n">
        <f aca="false">Sheet2_Cleaned_Data!E296</f>
        <v>54080.91</v>
      </c>
      <c r="B297" s="6" t="n">
        <f aca="false">Sheet2_Cleaned_Data!F296</f>
        <v>7083</v>
      </c>
      <c r="C297" s="6" t="n">
        <f aca="false">Sheet2_Cleaned_Data!G296</f>
        <v>0</v>
      </c>
      <c r="D297" s="6" t="n">
        <f aca="false">Sheet2_Cleaned_Data!I296</f>
        <v>97</v>
      </c>
      <c r="E297" s="6" t="n">
        <f aca="false">Sheet3_Dummy_Variables!D296</f>
        <v>0</v>
      </c>
      <c r="F297" s="6" t="n">
        <f aca="false">Sheet3_Dummy_Variables!E296</f>
        <v>0</v>
      </c>
      <c r="G297" s="6" t="n">
        <f aca="false">Sheet3_Dummy_Variables!F296</f>
        <v>1</v>
      </c>
    </row>
    <row r="298" customFormat="false" ht="15" hidden="false" customHeight="false" outlineLevel="0" collapsed="false">
      <c r="A298" s="6" t="n">
        <f aca="false">Sheet2_Cleaned_Data!E297</f>
        <v>51996.32</v>
      </c>
      <c r="B298" s="6" t="n">
        <f aca="false">Sheet2_Cleaned_Data!F297</f>
        <v>3834</v>
      </c>
      <c r="C298" s="6" t="n">
        <f aca="false">Sheet2_Cleaned_Data!G297</f>
        <v>0.096</v>
      </c>
      <c r="D298" s="6" t="n">
        <f aca="false">Sheet2_Cleaned_Data!I297</f>
        <v>86.7</v>
      </c>
      <c r="E298" s="6" t="n">
        <f aca="false">Sheet3_Dummy_Variables!D297</f>
        <v>0</v>
      </c>
      <c r="F298" s="6" t="n">
        <f aca="false">Sheet3_Dummy_Variables!E297</f>
        <v>0</v>
      </c>
      <c r="G298" s="6" t="n">
        <f aca="false">Sheet3_Dummy_Variables!F297</f>
        <v>0</v>
      </c>
    </row>
    <row r="299" customFormat="false" ht="15" hidden="false" customHeight="false" outlineLevel="0" collapsed="false">
      <c r="A299" s="6" t="n">
        <f aca="false">Sheet2_Cleaned_Data!E298</f>
        <v>40102.88</v>
      </c>
      <c r="B299" s="6" t="n">
        <f aca="false">Sheet2_Cleaned_Data!F298</f>
        <v>2358</v>
      </c>
      <c r="C299" s="6" t="n">
        <f aca="false">Sheet2_Cleaned_Data!G298</f>
        <v>0.119</v>
      </c>
      <c r="D299" s="6" t="n">
        <f aca="false">Sheet2_Cleaned_Data!I298</f>
        <v>88.7</v>
      </c>
      <c r="E299" s="6" t="n">
        <f aca="false">Sheet3_Dummy_Variables!D298</f>
        <v>0</v>
      </c>
      <c r="F299" s="6" t="n">
        <f aca="false">Sheet3_Dummy_Variables!E298</f>
        <v>0</v>
      </c>
      <c r="G299" s="6" t="n">
        <f aca="false">Sheet3_Dummy_Variables!F298</f>
        <v>0</v>
      </c>
    </row>
    <row r="300" customFormat="false" ht="15" hidden="false" customHeight="false" outlineLevel="0" collapsed="false">
      <c r="A300" s="6" t="n">
        <f aca="false">Sheet2_Cleaned_Data!E299</f>
        <v>59825.51</v>
      </c>
      <c r="B300" s="6" t="n">
        <f aca="false">Sheet2_Cleaned_Data!F299</f>
        <v>1231</v>
      </c>
      <c r="C300" s="6" t="n">
        <f aca="false">Sheet2_Cleaned_Data!G299</f>
        <v>0.214</v>
      </c>
      <c r="D300" s="6" t="n">
        <f aca="false">Sheet2_Cleaned_Data!I299</f>
        <v>84.8</v>
      </c>
      <c r="E300" s="6" t="n">
        <f aca="false">Sheet3_Dummy_Variables!D299</f>
        <v>0</v>
      </c>
      <c r="F300" s="6" t="n">
        <f aca="false">Sheet3_Dummy_Variables!E299</f>
        <v>0</v>
      </c>
      <c r="G300" s="6" t="n">
        <f aca="false">Sheet3_Dummy_Variables!F299</f>
        <v>0</v>
      </c>
    </row>
    <row r="301" customFormat="false" ht="15" hidden="false" customHeight="false" outlineLevel="0" collapsed="false">
      <c r="A301" s="6" t="n">
        <f aca="false">Sheet2_Cleaned_Data!E300</f>
        <v>27398.28</v>
      </c>
      <c r="B301" s="6" t="n">
        <f aca="false">Sheet2_Cleaned_Data!F300</f>
        <v>1723</v>
      </c>
      <c r="C301" s="6" t="n">
        <f aca="false">Sheet2_Cleaned_Data!G300</f>
        <v>0.171</v>
      </c>
      <c r="D301" s="6" t="n">
        <f aca="false">Sheet2_Cleaned_Data!I300</f>
        <v>81</v>
      </c>
      <c r="E301" s="6" t="n">
        <f aca="false">Sheet3_Dummy_Variables!D300</f>
        <v>0</v>
      </c>
      <c r="F301" s="6" t="n">
        <f aca="false">Sheet3_Dummy_Variables!E300</f>
        <v>0</v>
      </c>
      <c r="G301" s="6" t="n">
        <f aca="false">Sheet3_Dummy_Variables!F300</f>
        <v>0</v>
      </c>
    </row>
    <row r="302" customFormat="false" ht="15" hidden="false" customHeight="false" outlineLevel="0" collapsed="false">
      <c r="A302" s="6" t="n">
        <f aca="false">Sheet2_Cleaned_Data!E301</f>
        <v>55599.56</v>
      </c>
      <c r="B302" s="6" t="n">
        <f aca="false">Sheet2_Cleaned_Data!F301</f>
        <v>5896</v>
      </c>
      <c r="C302" s="6" t="n">
        <f aca="false">Sheet2_Cleaned_Data!G301</f>
        <v>0.036</v>
      </c>
      <c r="D302" s="6" t="n">
        <f aca="false">Sheet2_Cleaned_Data!I301</f>
        <v>93.1</v>
      </c>
      <c r="E302" s="6" t="n">
        <f aca="false">Sheet3_Dummy_Variables!D301</f>
        <v>0</v>
      </c>
      <c r="F302" s="6" t="n">
        <f aca="false">Sheet3_Dummy_Variables!E301</f>
        <v>0</v>
      </c>
      <c r="G302" s="6" t="n">
        <f aca="false">Sheet3_Dummy_Variables!F301</f>
        <v>0</v>
      </c>
    </row>
    <row r="303" customFormat="false" ht="15" hidden="false" customHeight="false" outlineLevel="0" collapsed="false">
      <c r="A303" s="6" t="n">
        <f aca="false">Sheet2_Cleaned_Data!E302</f>
        <v>55477.61</v>
      </c>
      <c r="B303" s="6" t="n">
        <f aca="false">Sheet2_Cleaned_Data!F302</f>
        <v>5903</v>
      </c>
      <c r="C303" s="6" t="n">
        <f aca="false">Sheet2_Cleaned_Data!G302</f>
        <v>0.102</v>
      </c>
      <c r="D303" s="6" t="n">
        <f aca="false">Sheet2_Cleaned_Data!I302</f>
        <v>96.2</v>
      </c>
      <c r="E303" s="6" t="n">
        <f aca="false">Sheet3_Dummy_Variables!D302</f>
        <v>0</v>
      </c>
      <c r="F303" s="6" t="n">
        <f aca="false">Sheet3_Dummy_Variables!E302</f>
        <v>0</v>
      </c>
      <c r="G303" s="6" t="n">
        <f aca="false">Sheet3_Dummy_Variables!F302</f>
        <v>0</v>
      </c>
    </row>
    <row r="304" customFormat="false" ht="15" hidden="false" customHeight="false" outlineLevel="0" collapsed="false">
      <c r="A304" s="6" t="n">
        <f aca="false">Sheet2_Cleaned_Data!E303</f>
        <v>46174.7</v>
      </c>
      <c r="B304" s="6" t="n">
        <f aca="false">Sheet2_Cleaned_Data!F303</f>
        <v>4898</v>
      </c>
      <c r="C304" s="6" t="n">
        <f aca="false">Sheet2_Cleaned_Data!G303</f>
        <v>0.114</v>
      </c>
      <c r="D304" s="6" t="n">
        <f aca="false">Sheet2_Cleaned_Data!I303</f>
        <v>91.7</v>
      </c>
      <c r="E304" s="6" t="n">
        <f aca="false">Sheet3_Dummy_Variables!D303</f>
        <v>0</v>
      </c>
      <c r="F304" s="6" t="n">
        <f aca="false">Sheet3_Dummy_Variables!E303</f>
        <v>0</v>
      </c>
      <c r="G304" s="6" t="n">
        <f aca="false">Sheet3_Dummy_Variables!F303</f>
        <v>0</v>
      </c>
    </row>
    <row r="305" customFormat="false" ht="15" hidden="false" customHeight="false" outlineLevel="0" collapsed="false">
      <c r="A305" s="6" t="n">
        <f aca="false">Sheet2_Cleaned_Data!E304</f>
        <v>24362.98</v>
      </c>
      <c r="B305" s="6" t="n">
        <f aca="false">Sheet2_Cleaned_Data!F304</f>
        <v>1462</v>
      </c>
      <c r="C305" s="6" t="n">
        <f aca="false">Sheet2_Cleaned_Data!G304</f>
        <v>0.117</v>
      </c>
      <c r="D305" s="6" t="n">
        <f aca="false">Sheet2_Cleaned_Data!I304</f>
        <v>89.3</v>
      </c>
      <c r="E305" s="6" t="n">
        <f aca="false">Sheet3_Dummy_Variables!D304</f>
        <v>0</v>
      </c>
      <c r="F305" s="6" t="n">
        <f aca="false">Sheet3_Dummy_Variables!E304</f>
        <v>0</v>
      </c>
      <c r="G305" s="6" t="n">
        <f aca="false">Sheet3_Dummy_Variables!F304</f>
        <v>0</v>
      </c>
    </row>
    <row r="306" customFormat="false" ht="15" hidden="false" customHeight="false" outlineLevel="0" collapsed="false">
      <c r="A306" s="6" t="n">
        <f aca="false">Sheet2_Cleaned_Data!E305</f>
        <v>40647.67</v>
      </c>
      <c r="B306" s="6" t="n">
        <f aca="false">Sheet2_Cleaned_Data!F305</f>
        <v>8252</v>
      </c>
      <c r="C306" s="6" t="n">
        <f aca="false">Sheet2_Cleaned_Data!G305</f>
        <v>0.141</v>
      </c>
      <c r="D306" s="6" t="n">
        <f aca="false">Sheet2_Cleaned_Data!I305</f>
        <v>88.2</v>
      </c>
      <c r="E306" s="6" t="n">
        <f aca="false">Sheet3_Dummy_Variables!D305</f>
        <v>0</v>
      </c>
      <c r="F306" s="6" t="n">
        <f aca="false">Sheet3_Dummy_Variables!E305</f>
        <v>1</v>
      </c>
      <c r="G306" s="6" t="n">
        <f aca="false">Sheet3_Dummy_Variables!F305</f>
        <v>0</v>
      </c>
    </row>
    <row r="307" customFormat="false" ht="15" hidden="false" customHeight="false" outlineLevel="0" collapsed="false">
      <c r="A307" s="6" t="n">
        <f aca="false">Sheet2_Cleaned_Data!E306</f>
        <v>63986.98</v>
      </c>
      <c r="B307" s="6" t="n">
        <f aca="false">Sheet2_Cleaned_Data!F306</f>
        <v>7989</v>
      </c>
      <c r="C307" s="6" t="n">
        <f aca="false">Sheet2_Cleaned_Data!G306</f>
        <v>0.074</v>
      </c>
      <c r="D307" s="6" t="n">
        <f aca="false">Sheet2_Cleaned_Data!I306</f>
        <v>83.3</v>
      </c>
      <c r="E307" s="6" t="n">
        <f aca="false">Sheet3_Dummy_Variables!D306</f>
        <v>0</v>
      </c>
      <c r="F307" s="6" t="n">
        <f aca="false">Sheet3_Dummy_Variables!E306</f>
        <v>1</v>
      </c>
      <c r="G307" s="6" t="n">
        <f aca="false">Sheet3_Dummy_Variables!F306</f>
        <v>0</v>
      </c>
    </row>
    <row r="308" customFormat="false" ht="15" hidden="false" customHeight="false" outlineLevel="0" collapsed="false">
      <c r="A308" s="6" t="n">
        <f aca="false">Sheet2_Cleaned_Data!E307</f>
        <v>52843.75</v>
      </c>
      <c r="B308" s="6" t="n">
        <f aca="false">Sheet2_Cleaned_Data!F307</f>
        <v>8268</v>
      </c>
      <c r="C308" s="6" t="n">
        <f aca="false">Sheet2_Cleaned_Data!G307</f>
        <v>0.138</v>
      </c>
      <c r="D308" s="6" t="n">
        <f aca="false">Sheet2_Cleaned_Data!I307</f>
        <v>87.3</v>
      </c>
      <c r="E308" s="6" t="n">
        <f aca="false">Sheet3_Dummy_Variables!D307</f>
        <v>0</v>
      </c>
      <c r="F308" s="6" t="n">
        <f aca="false">Sheet3_Dummy_Variables!E307</f>
        <v>1</v>
      </c>
      <c r="G308" s="6" t="n">
        <f aca="false">Sheet3_Dummy_Variables!F307</f>
        <v>0</v>
      </c>
    </row>
    <row r="309" customFormat="false" ht="15" hidden="false" customHeight="false" outlineLevel="0" collapsed="false">
      <c r="A309" s="6" t="n">
        <f aca="false">Sheet2_Cleaned_Data!E308</f>
        <v>31997.25</v>
      </c>
      <c r="B309" s="6" t="n">
        <f aca="false">Sheet2_Cleaned_Data!F308</f>
        <v>8183</v>
      </c>
      <c r="C309" s="6" t="n">
        <f aca="false">Sheet2_Cleaned_Data!G308</f>
        <v>0.198</v>
      </c>
      <c r="D309" s="6" t="n">
        <f aca="false">Sheet2_Cleaned_Data!I308</f>
        <v>93</v>
      </c>
      <c r="E309" s="6" t="n">
        <f aca="false">Sheet3_Dummy_Variables!D308</f>
        <v>0</v>
      </c>
      <c r="F309" s="6" t="n">
        <f aca="false">Sheet3_Dummy_Variables!E308</f>
        <v>1</v>
      </c>
      <c r="G309" s="6" t="n">
        <f aca="false">Sheet3_Dummy_Variables!F308</f>
        <v>0</v>
      </c>
    </row>
    <row r="310" customFormat="false" ht="15" hidden="false" customHeight="false" outlineLevel="0" collapsed="false">
      <c r="A310" s="6" t="n">
        <f aca="false">Sheet2_Cleaned_Data!E309</f>
        <v>54948.02</v>
      </c>
      <c r="B310" s="6" t="n">
        <f aca="false">Sheet2_Cleaned_Data!F309</f>
        <v>6534</v>
      </c>
      <c r="C310" s="6" t="n">
        <f aca="false">Sheet2_Cleaned_Data!G309</f>
        <v>0.183</v>
      </c>
      <c r="D310" s="6" t="n">
        <f aca="false">Sheet2_Cleaned_Data!I309</f>
        <v>94.5</v>
      </c>
      <c r="E310" s="6" t="n">
        <f aca="false">Sheet3_Dummy_Variables!D309</f>
        <v>0</v>
      </c>
      <c r="F310" s="6" t="n">
        <f aca="false">Sheet3_Dummy_Variables!E309</f>
        <v>0</v>
      </c>
      <c r="G310" s="6" t="n">
        <f aca="false">Sheet3_Dummy_Variables!F309</f>
        <v>1</v>
      </c>
    </row>
    <row r="311" customFormat="false" ht="15" hidden="false" customHeight="false" outlineLevel="0" collapsed="false">
      <c r="A311" s="6" t="n">
        <f aca="false">Sheet2_Cleaned_Data!E310</f>
        <v>46146.24</v>
      </c>
      <c r="B311" s="6" t="n">
        <f aca="false">Sheet2_Cleaned_Data!F310</f>
        <v>5804</v>
      </c>
      <c r="C311" s="6" t="n">
        <f aca="false">Sheet2_Cleaned_Data!G310</f>
        <v>0.047</v>
      </c>
      <c r="D311" s="6" t="n">
        <f aca="false">Sheet2_Cleaned_Data!I310</f>
        <v>86.9</v>
      </c>
      <c r="E311" s="6" t="n">
        <f aca="false">Sheet3_Dummy_Variables!D310</f>
        <v>0</v>
      </c>
      <c r="F311" s="6" t="n">
        <f aca="false">Sheet3_Dummy_Variables!E310</f>
        <v>0</v>
      </c>
      <c r="G311" s="6" t="n">
        <f aca="false">Sheet3_Dummy_Variables!F310</f>
        <v>1</v>
      </c>
    </row>
    <row r="312" customFormat="false" ht="15" hidden="false" customHeight="false" outlineLevel="0" collapsed="false">
      <c r="A312" s="6" t="n">
        <f aca="false">Sheet2_Cleaned_Data!E311</f>
        <v>22387.26</v>
      </c>
      <c r="B312" s="6" t="n">
        <f aca="false">Sheet2_Cleaned_Data!F311</f>
        <v>6301</v>
      </c>
      <c r="C312" s="6" t="n">
        <f aca="false">Sheet2_Cleaned_Data!G311</f>
        <v>0.146</v>
      </c>
      <c r="D312" s="6" t="n">
        <f aca="false">Sheet2_Cleaned_Data!I311</f>
        <v>85.9</v>
      </c>
      <c r="E312" s="6" t="n">
        <f aca="false">Sheet3_Dummy_Variables!D311</f>
        <v>0</v>
      </c>
      <c r="F312" s="6" t="n">
        <f aca="false">Sheet3_Dummy_Variables!E311</f>
        <v>0</v>
      </c>
      <c r="G312" s="6" t="n">
        <f aca="false">Sheet3_Dummy_Variables!F311</f>
        <v>1</v>
      </c>
    </row>
    <row r="313" customFormat="false" ht="15" hidden="false" customHeight="false" outlineLevel="0" collapsed="false">
      <c r="A313" s="6" t="n">
        <f aca="false">Sheet2_Cleaned_Data!E312</f>
        <v>60684.05</v>
      </c>
      <c r="B313" s="6" t="n">
        <f aca="false">Sheet2_Cleaned_Data!F312</f>
        <v>6399</v>
      </c>
      <c r="C313" s="6" t="n">
        <f aca="false">Sheet2_Cleaned_Data!G312</f>
        <v>0.075</v>
      </c>
      <c r="D313" s="6" t="n">
        <f aca="false">Sheet2_Cleaned_Data!I312</f>
        <v>99</v>
      </c>
      <c r="E313" s="6" t="n">
        <f aca="false">Sheet3_Dummy_Variables!D312</f>
        <v>0</v>
      </c>
      <c r="F313" s="6" t="n">
        <f aca="false">Sheet3_Dummy_Variables!E312</f>
        <v>0</v>
      </c>
      <c r="G313" s="6" t="n">
        <f aca="false">Sheet3_Dummy_Variables!F312</f>
        <v>1</v>
      </c>
    </row>
    <row r="314" customFormat="false" ht="15" hidden="false" customHeight="false" outlineLevel="0" collapsed="false">
      <c r="A314" s="6" t="n">
        <f aca="false">Sheet2_Cleaned_Data!E313</f>
        <v>48465.6</v>
      </c>
      <c r="B314" s="6" t="n">
        <f aca="false">Sheet2_Cleaned_Data!F313</f>
        <v>5759</v>
      </c>
      <c r="C314" s="6" t="n">
        <f aca="false">Sheet2_Cleaned_Data!G313</f>
        <v>0.154</v>
      </c>
      <c r="D314" s="6" t="n">
        <f aca="false">Sheet2_Cleaned_Data!I313</f>
        <v>87.5</v>
      </c>
      <c r="E314" s="6" t="n">
        <f aca="false">Sheet3_Dummy_Variables!D313</f>
        <v>0</v>
      </c>
      <c r="F314" s="6" t="n">
        <f aca="false">Sheet3_Dummy_Variables!E313</f>
        <v>0</v>
      </c>
      <c r="G314" s="6" t="n">
        <f aca="false">Sheet3_Dummy_Variables!F313</f>
        <v>0</v>
      </c>
    </row>
    <row r="315" customFormat="false" ht="15" hidden="false" customHeight="false" outlineLevel="0" collapsed="false">
      <c r="A315" s="6" t="n">
        <f aca="false">Sheet2_Cleaned_Data!E314</f>
        <v>23702.38</v>
      </c>
      <c r="B315" s="6" t="n">
        <f aca="false">Sheet2_Cleaned_Data!F314</f>
        <v>5285</v>
      </c>
      <c r="C315" s="6" t="n">
        <f aca="false">Sheet2_Cleaned_Data!G314</f>
        <v>0.167</v>
      </c>
      <c r="D315" s="6" t="n">
        <f aca="false">Sheet2_Cleaned_Data!I314</f>
        <v>79.7</v>
      </c>
      <c r="E315" s="6" t="n">
        <f aca="false">Sheet3_Dummy_Variables!D314</f>
        <v>0</v>
      </c>
      <c r="F315" s="6" t="n">
        <f aca="false">Sheet3_Dummy_Variables!E314</f>
        <v>0</v>
      </c>
      <c r="G315" s="6" t="n">
        <f aca="false">Sheet3_Dummy_Variables!F314</f>
        <v>0</v>
      </c>
    </row>
    <row r="316" customFormat="false" ht="15" hidden="false" customHeight="false" outlineLevel="0" collapsed="false">
      <c r="A316" s="6" t="n">
        <f aca="false">Sheet2_Cleaned_Data!E315</f>
        <v>54322.94</v>
      </c>
      <c r="B316" s="6" t="n">
        <f aca="false">Sheet2_Cleaned_Data!F315</f>
        <v>5434</v>
      </c>
      <c r="C316" s="6" t="n">
        <f aca="false">Sheet2_Cleaned_Data!G315</f>
        <v>0.2</v>
      </c>
      <c r="D316" s="6" t="n">
        <f aca="false">Sheet2_Cleaned_Data!I315</f>
        <v>85.7</v>
      </c>
      <c r="E316" s="6" t="n">
        <f aca="false">Sheet3_Dummy_Variables!D315</f>
        <v>0</v>
      </c>
      <c r="F316" s="6" t="n">
        <f aca="false">Sheet3_Dummy_Variables!E315</f>
        <v>0</v>
      </c>
      <c r="G316" s="6" t="n">
        <f aca="false">Sheet3_Dummy_Variables!F315</f>
        <v>0</v>
      </c>
    </row>
    <row r="317" customFormat="false" ht="15" hidden="false" customHeight="false" outlineLevel="0" collapsed="false">
      <c r="A317" s="6" t="n">
        <f aca="false">Sheet2_Cleaned_Data!E316</f>
        <v>86026.58</v>
      </c>
      <c r="B317" s="6" t="n">
        <f aca="false">Sheet2_Cleaned_Data!F316</f>
        <v>7479</v>
      </c>
      <c r="C317" s="6" t="n">
        <f aca="false">Sheet2_Cleaned_Data!G316</f>
        <v>0.142</v>
      </c>
      <c r="D317" s="6" t="n">
        <f aca="false">Sheet2_Cleaned_Data!I316</f>
        <v>89</v>
      </c>
      <c r="E317" s="6" t="n">
        <f aca="false">Sheet3_Dummy_Variables!D316</f>
        <v>0</v>
      </c>
      <c r="F317" s="6" t="n">
        <f aca="false">Sheet3_Dummy_Variables!E316</f>
        <v>0</v>
      </c>
      <c r="G317" s="6" t="n">
        <f aca="false">Sheet3_Dummy_Variables!F316</f>
        <v>0</v>
      </c>
    </row>
    <row r="318" customFormat="false" ht="15" hidden="false" customHeight="false" outlineLevel="0" collapsed="false">
      <c r="A318" s="6" t="n">
        <f aca="false">Sheet2_Cleaned_Data!E317</f>
        <v>78967.52</v>
      </c>
      <c r="B318" s="6" t="n">
        <f aca="false">Sheet2_Cleaned_Data!F317</f>
        <v>6164</v>
      </c>
      <c r="C318" s="6" t="n">
        <f aca="false">Sheet2_Cleaned_Data!G317</f>
        <v>0.021</v>
      </c>
      <c r="D318" s="6" t="n">
        <f aca="false">Sheet2_Cleaned_Data!I317</f>
        <v>85.5</v>
      </c>
      <c r="E318" s="6" t="n">
        <f aca="false">Sheet3_Dummy_Variables!D317</f>
        <v>0</v>
      </c>
      <c r="F318" s="6" t="n">
        <f aca="false">Sheet3_Dummy_Variables!E317</f>
        <v>0</v>
      </c>
      <c r="G318" s="6" t="n">
        <f aca="false">Sheet3_Dummy_Variables!F317</f>
        <v>1</v>
      </c>
    </row>
    <row r="319" customFormat="false" ht="15" hidden="false" customHeight="false" outlineLevel="0" collapsed="false">
      <c r="A319" s="6" t="n">
        <f aca="false">Sheet2_Cleaned_Data!E318</f>
        <v>46767.99</v>
      </c>
      <c r="B319" s="6" t="n">
        <f aca="false">Sheet2_Cleaned_Data!F318</f>
        <v>7973</v>
      </c>
      <c r="C319" s="6" t="n">
        <f aca="false">Sheet2_Cleaned_Data!G318</f>
        <v>0.183</v>
      </c>
      <c r="D319" s="6" t="n">
        <f aca="false">Sheet2_Cleaned_Data!I318</f>
        <v>94.8</v>
      </c>
      <c r="E319" s="6" t="n">
        <f aca="false">Sheet3_Dummy_Variables!D318</f>
        <v>0</v>
      </c>
      <c r="F319" s="6" t="n">
        <f aca="false">Sheet3_Dummy_Variables!E318</f>
        <v>0</v>
      </c>
      <c r="G319" s="6" t="n">
        <f aca="false">Sheet3_Dummy_Variables!F318</f>
        <v>1</v>
      </c>
    </row>
    <row r="320" customFormat="false" ht="15" hidden="false" customHeight="false" outlineLevel="0" collapsed="false">
      <c r="A320" s="6" t="n">
        <f aca="false">Sheet2_Cleaned_Data!E319</f>
        <v>62507.16</v>
      </c>
      <c r="B320" s="6" t="n">
        <f aca="false">Sheet2_Cleaned_Data!F319</f>
        <v>6000</v>
      </c>
      <c r="C320" s="6" t="n">
        <f aca="false">Sheet2_Cleaned_Data!G319</f>
        <v>0.091</v>
      </c>
      <c r="D320" s="6" t="n">
        <f aca="false">Sheet2_Cleaned_Data!I319</f>
        <v>98.2</v>
      </c>
      <c r="E320" s="6" t="n">
        <f aca="false">Sheet3_Dummy_Variables!D319</f>
        <v>0</v>
      </c>
      <c r="F320" s="6" t="n">
        <f aca="false">Sheet3_Dummy_Variables!E319</f>
        <v>0</v>
      </c>
      <c r="G320" s="6" t="n">
        <f aca="false">Sheet3_Dummy_Variables!F319</f>
        <v>1</v>
      </c>
    </row>
    <row r="321" customFormat="false" ht="15" hidden="false" customHeight="false" outlineLevel="0" collapsed="false">
      <c r="A321" s="6" t="n">
        <f aca="false">Sheet2_Cleaned_Data!E320</f>
        <v>66456.28</v>
      </c>
      <c r="B321" s="6" t="n">
        <f aca="false">Sheet2_Cleaned_Data!F320</f>
        <v>9967</v>
      </c>
      <c r="C321" s="6" t="n">
        <f aca="false">Sheet2_Cleaned_Data!G320</f>
        <v>0.108</v>
      </c>
      <c r="D321" s="6" t="n">
        <f aca="false">Sheet2_Cleaned_Data!I320</f>
        <v>94.7</v>
      </c>
      <c r="E321" s="6" t="n">
        <f aca="false">Sheet3_Dummy_Variables!D320</f>
        <v>0</v>
      </c>
      <c r="F321" s="6" t="n">
        <f aca="false">Sheet3_Dummy_Variables!E320</f>
        <v>0</v>
      </c>
      <c r="G321" s="6" t="n">
        <f aca="false">Sheet3_Dummy_Variables!F320</f>
        <v>1</v>
      </c>
    </row>
    <row r="322" customFormat="false" ht="15" hidden="false" customHeight="false" outlineLevel="0" collapsed="false">
      <c r="A322" s="6" t="n">
        <f aca="false">Sheet2_Cleaned_Data!E321</f>
        <v>76614.32</v>
      </c>
      <c r="B322" s="6" t="n">
        <f aca="false">Sheet2_Cleaned_Data!F321</f>
        <v>5639</v>
      </c>
      <c r="C322" s="6" t="n">
        <f aca="false">Sheet2_Cleaned_Data!G321</f>
        <v>0.174</v>
      </c>
      <c r="D322" s="6" t="n">
        <f aca="false">Sheet2_Cleaned_Data!I321</f>
        <v>92.9</v>
      </c>
      <c r="E322" s="6" t="n">
        <f aca="false">Sheet3_Dummy_Variables!D321</f>
        <v>0</v>
      </c>
      <c r="F322" s="6" t="n">
        <f aca="false">Sheet3_Dummy_Variables!E321</f>
        <v>0</v>
      </c>
      <c r="G322" s="6" t="n">
        <f aca="false">Sheet3_Dummy_Variables!F321</f>
        <v>1</v>
      </c>
    </row>
    <row r="323" customFormat="false" ht="15" hidden="false" customHeight="false" outlineLevel="0" collapsed="false">
      <c r="A323" s="6" t="n">
        <f aca="false">Sheet2_Cleaned_Data!E322</f>
        <v>24088.06</v>
      </c>
      <c r="B323" s="6" t="n">
        <f aca="false">Sheet2_Cleaned_Data!F322</f>
        <v>3466</v>
      </c>
      <c r="C323" s="6" t="n">
        <f aca="false">Sheet2_Cleaned_Data!G322</f>
        <v>0</v>
      </c>
      <c r="D323" s="6" t="n">
        <f aca="false">Sheet2_Cleaned_Data!I322</f>
        <v>88</v>
      </c>
      <c r="E323" s="6" t="n">
        <f aca="false">Sheet3_Dummy_Variables!D322</f>
        <v>0</v>
      </c>
      <c r="F323" s="6" t="n">
        <f aca="false">Sheet3_Dummy_Variables!E322</f>
        <v>0</v>
      </c>
      <c r="G323" s="6" t="n">
        <f aca="false">Sheet3_Dummy_Variables!F322</f>
        <v>1</v>
      </c>
    </row>
    <row r="324" customFormat="false" ht="15" hidden="false" customHeight="false" outlineLevel="0" collapsed="false">
      <c r="A324" s="6" t="n">
        <f aca="false">Sheet2_Cleaned_Data!E323</f>
        <v>81902.58</v>
      </c>
      <c r="B324" s="6" t="n">
        <f aca="false">Sheet2_Cleaned_Data!F323</f>
        <v>7775</v>
      </c>
      <c r="C324" s="6" t="n">
        <f aca="false">Sheet2_Cleaned_Data!G323</f>
        <v>0.215</v>
      </c>
      <c r="D324" s="6" t="n">
        <f aca="false">Sheet2_Cleaned_Data!I323</f>
        <v>85.2</v>
      </c>
      <c r="E324" s="6" t="n">
        <f aca="false">Sheet3_Dummy_Variables!D323</f>
        <v>0</v>
      </c>
      <c r="F324" s="6" t="n">
        <f aca="false">Sheet3_Dummy_Variables!E323</f>
        <v>0</v>
      </c>
      <c r="G324" s="6" t="n">
        <f aca="false">Sheet3_Dummy_Variables!F323</f>
        <v>1</v>
      </c>
    </row>
    <row r="325" customFormat="false" ht="15" hidden="false" customHeight="false" outlineLevel="0" collapsed="false">
      <c r="A325" s="6" t="n">
        <f aca="false">Sheet2_Cleaned_Data!E324</f>
        <v>40553.11</v>
      </c>
      <c r="B325" s="6" t="n">
        <f aca="false">Sheet2_Cleaned_Data!F324</f>
        <v>5317</v>
      </c>
      <c r="C325" s="6" t="n">
        <f aca="false">Sheet2_Cleaned_Data!G324</f>
        <v>0.165</v>
      </c>
      <c r="D325" s="6" t="n">
        <f aca="false">Sheet2_Cleaned_Data!I324</f>
        <v>84.3</v>
      </c>
      <c r="E325" s="6" t="n">
        <f aca="false">Sheet3_Dummy_Variables!D324</f>
        <v>0</v>
      </c>
      <c r="F325" s="6" t="n">
        <f aca="false">Sheet3_Dummy_Variables!E324</f>
        <v>0</v>
      </c>
      <c r="G325" s="6" t="n">
        <f aca="false">Sheet3_Dummy_Variables!F324</f>
        <v>1</v>
      </c>
    </row>
  </sheetData>
  <mergeCells count="2">
    <mergeCell ref="A2:H2"/>
    <mergeCell ref="J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9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"/>
    <col collapsed="false" customWidth="true" hidden="false" outlineLevel="0" max="9" min="9" style="1" width="6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3" min="13" style="1" width="14"/>
  </cols>
  <sheetData>
    <row r="1" customFormat="false" ht="16.15" hidden="false" customHeight="false" outlineLevel="0" collapsed="false">
      <c r="A1" s="2" t="s">
        <v>140</v>
      </c>
    </row>
    <row r="2" customFormat="false" ht="15" hidden="false" customHeight="false" outlineLevel="0" collapsed="false">
      <c r="A2" s="5" t="s">
        <v>141</v>
      </c>
      <c r="B2" s="5"/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142</v>
      </c>
      <c r="F4" s="3" t="s">
        <v>143</v>
      </c>
      <c r="G4" s="3" t="s">
        <v>144</v>
      </c>
      <c r="I4" s="11" t="s">
        <v>145</v>
      </c>
      <c r="J4" s="11"/>
      <c r="K4" s="11"/>
      <c r="L4" s="11"/>
      <c r="M4" s="11"/>
    </row>
    <row r="5" customFormat="false" ht="15" hidden="false" customHeight="false" outlineLevel="0" collapsed="false">
      <c r="A5" s="6" t="str">
        <f aca="false">Sheet2_Cleaned_Data!A5</f>
        <v>STR-1001</v>
      </c>
      <c r="B5" s="6" t="str">
        <f aca="false">Sheet2_Cleaned_Data!B5</f>
        <v>2025-01-01</v>
      </c>
      <c r="C5" s="6" t="str">
        <f aca="false">Sheet2_Cleaned_Data!C5</f>
        <v>East</v>
      </c>
      <c r="D5" s="6" t="str">
        <f aca="false">Sheet2_Cleaned_Data!D5</f>
        <v>Residential</v>
      </c>
      <c r="E5" s="15" t="n">
        <f aca="false">Sheet2_Cleaned_Data!M5</f>
        <v>658832.62</v>
      </c>
      <c r="F5" s="16" t="n">
        <f aca="false">Sheet5_Multiple_Regression!$J$6+Sheet5_Multiple_Regression!$J$7*Sheet5_Multiple_Regression!A6+Sheet5_Multiple_Regression!$J$8*Sheet5_Multiple_Regression!B6+Sheet5_Multiple_Regression!$J$9*Sheet5_Multiple_Regression!C6+Sheet5_Multiple_Regression!$J$10*Sheet5_Multiple_Regression!D6+Sheet5_Multiple_Regression!$J$11*Sheet5_Multiple_Regression!E6+Sheet5_Multiple_Regression!$J$12*Sheet5_Multiple_Regression!F6+Sheet5_Multiple_Regression!$J$13*Sheet5_Multiple_Regression!G6</f>
        <v>704472.703785832</v>
      </c>
      <c r="G5" s="16" t="n">
        <f aca="false">E5-F5</f>
        <v>-45640.083785832</v>
      </c>
      <c r="I5" s="3" t="s">
        <v>146</v>
      </c>
      <c r="J5" s="3" t="s">
        <v>1</v>
      </c>
      <c r="K5" s="3" t="s">
        <v>4</v>
      </c>
      <c r="L5" s="3" t="s">
        <v>3</v>
      </c>
      <c r="M5" s="3" t="s">
        <v>144</v>
      </c>
    </row>
    <row r="6" customFormat="false" ht="15" hidden="false" customHeight="false" outlineLevel="0" collapsed="false">
      <c r="A6" s="6" t="str">
        <f aca="false">Sheet2_Cleaned_Data!A6</f>
        <v>STR-1001</v>
      </c>
      <c r="B6" s="6" t="str">
        <f aca="false">Sheet2_Cleaned_Data!B6</f>
        <v>2025-02-01</v>
      </c>
      <c r="C6" s="6" t="str">
        <f aca="false">Sheet2_Cleaned_Data!C6</f>
        <v>East</v>
      </c>
      <c r="D6" s="6" t="str">
        <f aca="false">Sheet2_Cleaned_Data!D6</f>
        <v>Residential</v>
      </c>
      <c r="E6" s="15" t="n">
        <f aca="false">Sheet2_Cleaned_Data!M6</f>
        <v>634436</v>
      </c>
      <c r="F6" s="16" t="n">
        <f aca="false">Sheet5_Multiple_Regression!$J$6+Sheet5_Multiple_Regression!$J$7*Sheet5_Multiple_Regression!A7+Sheet5_Multiple_Regression!$J$8*Sheet5_Multiple_Regression!B7+Sheet5_Multiple_Regression!$J$9*Sheet5_Multiple_Regression!C7+Sheet5_Multiple_Regression!$J$10*Sheet5_Multiple_Regression!D7+Sheet5_Multiple_Regression!$J$11*Sheet5_Multiple_Regression!E7+Sheet5_Multiple_Regression!$J$12*Sheet5_Multiple_Regression!F7+Sheet5_Multiple_Regression!$J$13*Sheet5_Multiple_Regression!G7</f>
        <v>700530.922409688</v>
      </c>
      <c r="G6" s="16" t="n">
        <f aca="false">E6-F6</f>
        <v>-66094.9224096882</v>
      </c>
      <c r="I6" s="4" t="n">
        <v>1</v>
      </c>
      <c r="J6" s="4" t="str">
        <f aca="false">INDEX($A$5:$A$324,MATCH(M6,$G$5:$G$324,0))</f>
        <v>STR-1030</v>
      </c>
      <c r="K6" s="4" t="str">
        <f aca="false">INDEX($D$5:$D$324,MATCH(M6,$G$5:$G$324,0))</f>
        <v>Residential</v>
      </c>
      <c r="L6" s="4" t="str">
        <f aca="false">INDEX($C$5:$C$324,MATCH(M6,$G$5:$G$324,0))</f>
        <v>West</v>
      </c>
      <c r="M6" s="17" t="n">
        <f aca="false">LARGE($G$5:$G$324,1)</f>
        <v>105899.44579317</v>
      </c>
    </row>
    <row r="7" customFormat="false" ht="15" hidden="false" customHeight="false" outlineLevel="0" collapsed="false">
      <c r="A7" s="6" t="str">
        <f aca="false">Sheet2_Cleaned_Data!A7</f>
        <v>STR-1001</v>
      </c>
      <c r="B7" s="6" t="str">
        <f aca="false">Sheet2_Cleaned_Data!B7</f>
        <v>2025-03-01</v>
      </c>
      <c r="C7" s="6" t="str">
        <f aca="false">Sheet2_Cleaned_Data!C7</f>
        <v>East</v>
      </c>
      <c r="D7" s="6" t="str">
        <f aca="false">Sheet2_Cleaned_Data!D7</f>
        <v>Residential</v>
      </c>
      <c r="E7" s="15" t="n">
        <f aca="false">Sheet2_Cleaned_Data!M7</f>
        <v>678722.06</v>
      </c>
      <c r="F7" s="16" t="n">
        <f aca="false">Sheet5_Multiple_Regression!$J$6+Sheet5_Multiple_Regression!$J$7*Sheet5_Multiple_Regression!A8+Sheet5_Multiple_Regression!$J$8*Sheet5_Multiple_Regression!B8+Sheet5_Multiple_Regression!$J$9*Sheet5_Multiple_Regression!C8+Sheet5_Multiple_Regression!$J$10*Sheet5_Multiple_Regression!D8+Sheet5_Multiple_Regression!$J$11*Sheet5_Multiple_Regression!E8+Sheet5_Multiple_Regression!$J$12*Sheet5_Multiple_Regression!F8+Sheet5_Multiple_Regression!$J$13*Sheet5_Multiple_Regression!G8</f>
        <v>753228.652838525</v>
      </c>
      <c r="G7" s="16" t="n">
        <f aca="false">E7-F7</f>
        <v>-74506.5928385248</v>
      </c>
      <c r="I7" s="4" t="n">
        <v>2</v>
      </c>
      <c r="J7" s="4" t="str">
        <f aca="false">INDEX($A$5:$A$324,MATCH(M7,$G$5:$G$324,0))</f>
        <v>STR-1073</v>
      </c>
      <c r="K7" s="4" t="str">
        <f aca="false">INDEX($D$5:$D$324,MATCH(M7,$G$5:$G$324,0))</f>
        <v>Residential</v>
      </c>
      <c r="L7" s="4" t="str">
        <f aca="false">INDEX($C$5:$C$324,MATCH(M7,$G$5:$G$324,0))</f>
        <v>East</v>
      </c>
      <c r="M7" s="17" t="n">
        <f aca="false">LARGE($G$5:$G$324,2)</f>
        <v>99623.4102760244</v>
      </c>
    </row>
    <row r="8" customFormat="false" ht="15" hidden="false" customHeight="false" outlineLevel="0" collapsed="false">
      <c r="A8" s="6" t="str">
        <f aca="false">Sheet2_Cleaned_Data!A8</f>
        <v>STR-1001</v>
      </c>
      <c r="B8" s="6" t="str">
        <f aca="false">Sheet2_Cleaned_Data!B8</f>
        <v>2025-04-01</v>
      </c>
      <c r="C8" s="6" t="str">
        <f aca="false">Sheet2_Cleaned_Data!C8</f>
        <v>East</v>
      </c>
      <c r="D8" s="6" t="str">
        <f aca="false">Sheet2_Cleaned_Data!D8</f>
        <v>Residential</v>
      </c>
      <c r="E8" s="15" t="n">
        <f aca="false">Sheet2_Cleaned_Data!M8</f>
        <v>658920.3</v>
      </c>
      <c r="F8" s="16" t="n">
        <f aca="false">Sheet5_Multiple_Regression!$J$6+Sheet5_Multiple_Regression!$J$7*Sheet5_Multiple_Regression!A9+Sheet5_Multiple_Regression!$J$8*Sheet5_Multiple_Regression!B9+Sheet5_Multiple_Regression!$J$9*Sheet5_Multiple_Regression!C9+Sheet5_Multiple_Regression!$J$10*Sheet5_Multiple_Regression!D9+Sheet5_Multiple_Regression!$J$11*Sheet5_Multiple_Regression!E9+Sheet5_Multiple_Regression!$J$12*Sheet5_Multiple_Regression!F9+Sheet5_Multiple_Regression!$J$13*Sheet5_Multiple_Regression!G9</f>
        <v>756529.955380868</v>
      </c>
      <c r="G8" s="16" t="n">
        <f aca="false">E8-F8</f>
        <v>-97609.6553808684</v>
      </c>
      <c r="I8" s="4" t="n">
        <v>3</v>
      </c>
      <c r="J8" s="4" t="str">
        <f aca="false">INDEX($A$5:$A$324,MATCH(M8,$G$5:$G$324,0))</f>
        <v>STR-1032</v>
      </c>
      <c r="K8" s="4" t="str">
        <f aca="false">INDEX($D$5:$D$324,MATCH(M8,$G$5:$G$324,0))</f>
        <v>High Street</v>
      </c>
      <c r="L8" s="4" t="str">
        <f aca="false">INDEX($C$5:$C$324,MATCH(M8,$G$5:$G$324,0))</f>
        <v>South</v>
      </c>
      <c r="M8" s="17" t="n">
        <f aca="false">LARGE($G$5:$G$324,3)</f>
        <v>98771.4410205341</v>
      </c>
    </row>
    <row r="9" customFormat="false" ht="15" hidden="false" customHeight="false" outlineLevel="0" collapsed="false">
      <c r="A9" s="6" t="str">
        <f aca="false">Sheet2_Cleaned_Data!A9</f>
        <v>STR-1002</v>
      </c>
      <c r="B9" s="6" t="str">
        <f aca="false">Sheet2_Cleaned_Data!B9</f>
        <v>2025-01-01</v>
      </c>
      <c r="C9" s="6" t="str">
        <f aca="false">Sheet2_Cleaned_Data!C9</f>
        <v>East</v>
      </c>
      <c r="D9" s="6" t="str">
        <f aca="false">Sheet2_Cleaned_Data!D9</f>
        <v>High Street</v>
      </c>
      <c r="E9" s="15" t="n">
        <f aca="false">Sheet2_Cleaned_Data!M9</f>
        <v>741341.44</v>
      </c>
      <c r="F9" s="16" t="n">
        <f aca="false">Sheet5_Multiple_Regression!$J$6+Sheet5_Multiple_Regression!$J$7*Sheet5_Multiple_Regression!A10+Sheet5_Multiple_Regression!$J$8*Sheet5_Multiple_Regression!B10+Sheet5_Multiple_Regression!$J$9*Sheet5_Multiple_Regression!C10+Sheet5_Multiple_Regression!$J$10*Sheet5_Multiple_Regression!D10+Sheet5_Multiple_Regression!$J$11*Sheet5_Multiple_Regression!E10+Sheet5_Multiple_Regression!$J$12*Sheet5_Multiple_Regression!F10+Sheet5_Multiple_Regression!$J$13*Sheet5_Multiple_Regression!G10</f>
        <v>793970.976806589</v>
      </c>
      <c r="G9" s="16" t="n">
        <f aca="false">E9-F9</f>
        <v>-52629.5368065892</v>
      </c>
      <c r="I9" s="4" t="n">
        <v>4</v>
      </c>
      <c r="J9" s="4" t="str">
        <f aca="false">INDEX($A$5:$A$324,MATCH(M9,$G$5:$G$324,0))</f>
        <v>STR-1050</v>
      </c>
      <c r="K9" s="4" t="str">
        <f aca="false">INDEX($D$5:$D$324,MATCH(M9,$G$5:$G$324,0))</f>
        <v>Residential</v>
      </c>
      <c r="L9" s="4" t="str">
        <f aca="false">INDEX($C$5:$C$324,MATCH(M9,$G$5:$G$324,0))</f>
        <v>North</v>
      </c>
      <c r="M9" s="17" t="n">
        <f aca="false">LARGE($G$5:$G$324,4)</f>
        <v>97246.4928888074</v>
      </c>
    </row>
    <row r="10" customFormat="false" ht="15" hidden="false" customHeight="false" outlineLevel="0" collapsed="false">
      <c r="A10" s="6" t="str">
        <f aca="false">Sheet2_Cleaned_Data!A10</f>
        <v>STR-1002</v>
      </c>
      <c r="B10" s="6" t="str">
        <f aca="false">Sheet2_Cleaned_Data!B10</f>
        <v>2025-02-01</v>
      </c>
      <c r="C10" s="6" t="str">
        <f aca="false">Sheet2_Cleaned_Data!C10</f>
        <v>East</v>
      </c>
      <c r="D10" s="6" t="str">
        <f aca="false">Sheet2_Cleaned_Data!D10</f>
        <v>High Street</v>
      </c>
      <c r="E10" s="15" t="n">
        <f aca="false">Sheet2_Cleaned_Data!M10</f>
        <v>761835.34</v>
      </c>
      <c r="F10" s="16" t="n">
        <f aca="false">Sheet5_Multiple_Regression!$J$6+Sheet5_Multiple_Regression!$J$7*Sheet5_Multiple_Regression!A11+Sheet5_Multiple_Regression!$J$8*Sheet5_Multiple_Regression!B11+Sheet5_Multiple_Regression!$J$9*Sheet5_Multiple_Regression!C11+Sheet5_Multiple_Regression!$J$10*Sheet5_Multiple_Regression!D11+Sheet5_Multiple_Regression!$J$11*Sheet5_Multiple_Regression!E11+Sheet5_Multiple_Regression!$J$12*Sheet5_Multiple_Regression!F11+Sheet5_Multiple_Regression!$J$13*Sheet5_Multiple_Regression!G11</f>
        <v>788194.055891361</v>
      </c>
      <c r="G10" s="16" t="n">
        <f aca="false">E10-F10</f>
        <v>-26358.7158913614</v>
      </c>
      <c r="I10" s="4" t="n">
        <v>5</v>
      </c>
      <c r="J10" s="4" t="str">
        <f aca="false">INDEX($A$5:$A$324,MATCH(M10,$G$5:$G$324,0))</f>
        <v>STR-1028</v>
      </c>
      <c r="K10" s="4" t="str">
        <f aca="false">INDEX($D$5:$D$324,MATCH(M10,$G$5:$G$324,0))</f>
        <v>Mall</v>
      </c>
      <c r="L10" s="4" t="str">
        <f aca="false">INDEX($C$5:$C$324,MATCH(M10,$G$5:$G$324,0))</f>
        <v>East</v>
      </c>
      <c r="M10" s="17" t="n">
        <f aca="false">LARGE($G$5:$G$324,5)</f>
        <v>95145.3238065299</v>
      </c>
    </row>
    <row r="11" customFormat="false" ht="15" hidden="false" customHeight="false" outlineLevel="0" collapsed="false">
      <c r="A11" s="6" t="str">
        <f aca="false">Sheet2_Cleaned_Data!A11</f>
        <v>STR-1002</v>
      </c>
      <c r="B11" s="6" t="str">
        <f aca="false">Sheet2_Cleaned_Data!B11</f>
        <v>2025-03-01</v>
      </c>
      <c r="C11" s="6" t="str">
        <f aca="false">Sheet2_Cleaned_Data!C11</f>
        <v>East</v>
      </c>
      <c r="D11" s="6" t="str">
        <f aca="false">Sheet2_Cleaned_Data!D11</f>
        <v>High Street</v>
      </c>
      <c r="E11" s="15" t="n">
        <f aca="false">Sheet2_Cleaned_Data!M11</f>
        <v>806615.54</v>
      </c>
      <c r="F11" s="16" t="n">
        <f aca="false">Sheet5_Multiple_Regression!$J$6+Sheet5_Multiple_Regression!$J$7*Sheet5_Multiple_Regression!A12+Sheet5_Multiple_Regression!$J$8*Sheet5_Multiple_Regression!B12+Sheet5_Multiple_Regression!$J$9*Sheet5_Multiple_Regression!C12+Sheet5_Multiple_Regression!$J$10*Sheet5_Multiple_Regression!D12+Sheet5_Multiple_Regression!$J$11*Sheet5_Multiple_Regression!E12+Sheet5_Multiple_Regression!$J$12*Sheet5_Multiple_Regression!F12+Sheet5_Multiple_Regression!$J$13*Sheet5_Multiple_Regression!G12</f>
        <v>796669.955349177</v>
      </c>
      <c r="G11" s="16" t="n">
        <f aca="false">E11-F11</f>
        <v>9945.58465082315</v>
      </c>
    </row>
    <row r="12" customFormat="false" ht="15" hidden="false" customHeight="false" outlineLevel="0" collapsed="false">
      <c r="A12" s="6" t="str">
        <f aca="false">Sheet2_Cleaned_Data!A12</f>
        <v>STR-1002</v>
      </c>
      <c r="B12" s="6" t="str">
        <f aca="false">Sheet2_Cleaned_Data!B12</f>
        <v>2025-04-01</v>
      </c>
      <c r="C12" s="6" t="str">
        <f aca="false">Sheet2_Cleaned_Data!C12</f>
        <v>East</v>
      </c>
      <c r="D12" s="6" t="str">
        <f aca="false">Sheet2_Cleaned_Data!D12</f>
        <v>High Street</v>
      </c>
      <c r="E12" s="15" t="n">
        <f aca="false">Sheet2_Cleaned_Data!M12</f>
        <v>850164.26</v>
      </c>
      <c r="F12" s="16" t="n">
        <f aca="false">Sheet5_Multiple_Regression!$J$6+Sheet5_Multiple_Regression!$J$7*Sheet5_Multiple_Regression!A13+Sheet5_Multiple_Regression!$J$8*Sheet5_Multiple_Regression!B13+Sheet5_Multiple_Regression!$J$9*Sheet5_Multiple_Regression!C13+Sheet5_Multiple_Regression!$J$10*Sheet5_Multiple_Regression!D13+Sheet5_Multiple_Regression!$J$11*Sheet5_Multiple_Regression!E13+Sheet5_Multiple_Regression!$J$12*Sheet5_Multiple_Regression!F13+Sheet5_Multiple_Regression!$J$13*Sheet5_Multiple_Regression!G13</f>
        <v>784174.589946934</v>
      </c>
      <c r="G12" s="16" t="n">
        <f aca="false">E12-F12</f>
        <v>65989.6700530663</v>
      </c>
      <c r="I12" s="11" t="s">
        <v>147</v>
      </c>
      <c r="J12" s="11"/>
      <c r="K12" s="11"/>
      <c r="L12" s="11"/>
      <c r="M12" s="11"/>
    </row>
    <row r="13" customFormat="false" ht="15" hidden="false" customHeight="false" outlineLevel="0" collapsed="false">
      <c r="A13" s="6" t="str">
        <f aca="false">Sheet2_Cleaned_Data!A13</f>
        <v>STR-1003</v>
      </c>
      <c r="B13" s="6" t="str">
        <f aca="false">Sheet2_Cleaned_Data!B13</f>
        <v>2025-01-01</v>
      </c>
      <c r="C13" s="6" t="str">
        <f aca="false">Sheet2_Cleaned_Data!C13</f>
        <v>North</v>
      </c>
      <c r="D13" s="6" t="str">
        <f aca="false">Sheet2_Cleaned_Data!D13</f>
        <v>Airport</v>
      </c>
      <c r="E13" s="15" t="n">
        <f aca="false">Sheet2_Cleaned_Data!M13</f>
        <v>930581.7</v>
      </c>
      <c r="F13" s="16" t="n">
        <f aca="false">Sheet5_Multiple_Regression!$J$6+Sheet5_Multiple_Regression!$J$7*Sheet5_Multiple_Regression!A14+Sheet5_Multiple_Regression!$J$8*Sheet5_Multiple_Regression!B14+Sheet5_Multiple_Regression!$J$9*Sheet5_Multiple_Regression!C14+Sheet5_Multiple_Regression!$J$10*Sheet5_Multiple_Regression!D14+Sheet5_Multiple_Regression!$J$11*Sheet5_Multiple_Regression!E14+Sheet5_Multiple_Regression!$J$12*Sheet5_Multiple_Regression!F14+Sheet5_Multiple_Regression!$J$13*Sheet5_Multiple_Regression!G14</f>
        <v>865386.513574139</v>
      </c>
      <c r="G13" s="16" t="n">
        <f aca="false">E13-F13</f>
        <v>65195.1864258607</v>
      </c>
      <c r="I13" s="3" t="s">
        <v>146</v>
      </c>
      <c r="J13" s="3" t="s">
        <v>1</v>
      </c>
      <c r="K13" s="3" t="s">
        <v>4</v>
      </c>
      <c r="L13" s="3" t="s">
        <v>3</v>
      </c>
      <c r="M13" s="3" t="s">
        <v>144</v>
      </c>
    </row>
    <row r="14" customFormat="false" ht="15" hidden="false" customHeight="false" outlineLevel="0" collapsed="false">
      <c r="A14" s="6" t="str">
        <f aca="false">Sheet2_Cleaned_Data!A14</f>
        <v>STR-1003</v>
      </c>
      <c r="B14" s="6" t="str">
        <f aca="false">Sheet2_Cleaned_Data!B14</f>
        <v>2025-02-01</v>
      </c>
      <c r="C14" s="6" t="str">
        <f aca="false">Sheet2_Cleaned_Data!C14</f>
        <v>North</v>
      </c>
      <c r="D14" s="6" t="str">
        <f aca="false">Sheet2_Cleaned_Data!D14</f>
        <v>Airport</v>
      </c>
      <c r="E14" s="15" t="n">
        <f aca="false">Sheet2_Cleaned_Data!M14</f>
        <v>779010.94</v>
      </c>
      <c r="F14" s="16" t="n">
        <f aca="false">Sheet5_Multiple_Regression!$J$6+Sheet5_Multiple_Regression!$J$7*Sheet5_Multiple_Regression!A15+Sheet5_Multiple_Regression!$J$8*Sheet5_Multiple_Regression!B15+Sheet5_Multiple_Regression!$J$9*Sheet5_Multiple_Regression!C15+Sheet5_Multiple_Regression!$J$10*Sheet5_Multiple_Regression!D15+Sheet5_Multiple_Regression!$J$11*Sheet5_Multiple_Regression!E15+Sheet5_Multiple_Regression!$J$12*Sheet5_Multiple_Regression!F15+Sheet5_Multiple_Regression!$J$13*Sheet5_Multiple_Regression!G15</f>
        <v>798799.0685916</v>
      </c>
      <c r="G14" s="16" t="n">
        <f aca="false">E14-F14</f>
        <v>-19788.1285915996</v>
      </c>
      <c r="I14" s="4" t="n">
        <v>1</v>
      </c>
      <c r="J14" s="4" t="str">
        <f aca="false">INDEX($A$5:$A$324,MATCH(M14,$G$5:$G$324,0))</f>
        <v>STR-1017</v>
      </c>
      <c r="K14" s="4" t="str">
        <f aca="false">INDEX($D$5:$D$324,MATCH(M14,$G$5:$G$324,0))</f>
        <v>High Street</v>
      </c>
      <c r="L14" s="4" t="str">
        <f aca="false">INDEX($C$5:$C$324,MATCH(M14,$G$5:$G$324,0))</f>
        <v>West</v>
      </c>
      <c r="M14" s="17" t="n">
        <f aca="false">SMALL($G$5:$G$324,1)</f>
        <v>-159241.229586429</v>
      </c>
    </row>
    <row r="15" customFormat="false" ht="15" hidden="false" customHeight="false" outlineLevel="0" collapsed="false">
      <c r="A15" s="6" t="str">
        <f aca="false">Sheet2_Cleaned_Data!A15</f>
        <v>STR-1003</v>
      </c>
      <c r="B15" s="6" t="str">
        <f aca="false">Sheet2_Cleaned_Data!B15</f>
        <v>2025-03-01</v>
      </c>
      <c r="C15" s="6" t="str">
        <f aca="false">Sheet2_Cleaned_Data!C15</f>
        <v>North</v>
      </c>
      <c r="D15" s="6" t="str">
        <f aca="false">Sheet2_Cleaned_Data!D15</f>
        <v>Airport</v>
      </c>
      <c r="E15" s="15" t="n">
        <f aca="false">Sheet2_Cleaned_Data!M15</f>
        <v>723060.76</v>
      </c>
      <c r="F15" s="16" t="n">
        <f aca="false">Sheet5_Multiple_Regression!$J$6+Sheet5_Multiple_Regression!$J$7*Sheet5_Multiple_Regression!A16+Sheet5_Multiple_Regression!$J$8*Sheet5_Multiple_Regression!B16+Sheet5_Multiple_Regression!$J$9*Sheet5_Multiple_Regression!C16+Sheet5_Multiple_Regression!$J$10*Sheet5_Multiple_Regression!D16+Sheet5_Multiple_Regression!$J$11*Sheet5_Multiple_Regression!E16+Sheet5_Multiple_Regression!$J$12*Sheet5_Multiple_Regression!F16+Sheet5_Multiple_Regression!$J$13*Sheet5_Multiple_Regression!G16</f>
        <v>760003.90291082</v>
      </c>
      <c r="G15" s="16" t="n">
        <f aca="false">E15-F15</f>
        <v>-36943.1429108195</v>
      </c>
      <c r="I15" s="4" t="n">
        <v>2</v>
      </c>
      <c r="J15" s="4" t="str">
        <f aca="false">INDEX($A$5:$A$324,MATCH(M15,$G$5:$G$324,0))</f>
        <v>STR-1023</v>
      </c>
      <c r="K15" s="4" t="str">
        <f aca="false">INDEX($D$5:$D$324,MATCH(M15,$G$5:$G$324,0))</f>
        <v>Mall</v>
      </c>
      <c r="L15" s="4" t="str">
        <f aca="false">INDEX($C$5:$C$324,MATCH(M15,$G$5:$G$324,0))</f>
        <v>South</v>
      </c>
      <c r="M15" s="17" t="n">
        <f aca="false">SMALL($G$5:$G$324,2)</f>
        <v>-128265.261439066</v>
      </c>
    </row>
    <row r="16" customFormat="false" ht="15" hidden="false" customHeight="false" outlineLevel="0" collapsed="false">
      <c r="A16" s="6" t="str">
        <f aca="false">Sheet2_Cleaned_Data!A16</f>
        <v>STR-1003</v>
      </c>
      <c r="B16" s="6" t="str">
        <f aca="false">Sheet2_Cleaned_Data!B16</f>
        <v>2025-04-01</v>
      </c>
      <c r="C16" s="6" t="str">
        <f aca="false">Sheet2_Cleaned_Data!C16</f>
        <v>North</v>
      </c>
      <c r="D16" s="6" t="str">
        <f aca="false">Sheet2_Cleaned_Data!D16</f>
        <v>Airport</v>
      </c>
      <c r="E16" s="15" t="n">
        <f aca="false">Sheet2_Cleaned_Data!M16</f>
        <v>910791.94</v>
      </c>
      <c r="F16" s="16" t="n">
        <f aca="false">Sheet5_Multiple_Regression!$J$6+Sheet5_Multiple_Regression!$J$7*Sheet5_Multiple_Regression!A17+Sheet5_Multiple_Regression!$J$8*Sheet5_Multiple_Regression!B17+Sheet5_Multiple_Regression!$J$9*Sheet5_Multiple_Regression!C17+Sheet5_Multiple_Regression!$J$10*Sheet5_Multiple_Regression!D17+Sheet5_Multiple_Regression!$J$11*Sheet5_Multiple_Regression!E17+Sheet5_Multiple_Regression!$J$12*Sheet5_Multiple_Regression!F17+Sheet5_Multiple_Regression!$J$13*Sheet5_Multiple_Regression!G17</f>
        <v>871984.851349465</v>
      </c>
      <c r="G16" s="16" t="n">
        <f aca="false">E16-F16</f>
        <v>38807.0886505352</v>
      </c>
      <c r="I16" s="4" t="n">
        <v>3</v>
      </c>
      <c r="J16" s="4" t="str">
        <f aca="false">INDEX($A$5:$A$324,MATCH(M16,$G$5:$G$324,0))</f>
        <v>STR-1012</v>
      </c>
      <c r="K16" s="4" t="str">
        <f aca="false">INDEX($D$5:$D$324,MATCH(M16,$G$5:$G$324,0))</f>
        <v>Residential</v>
      </c>
      <c r="L16" s="4" t="str">
        <f aca="false">INDEX($C$5:$C$324,MATCH(M16,$G$5:$G$324,0))</f>
        <v>West</v>
      </c>
      <c r="M16" s="17" t="n">
        <f aca="false">SMALL($G$5:$G$324,3)</f>
        <v>-121078.891513569</v>
      </c>
    </row>
    <row r="17" customFormat="false" ht="15" hidden="false" customHeight="false" outlineLevel="0" collapsed="false">
      <c r="A17" s="6" t="str">
        <f aca="false">Sheet2_Cleaned_Data!A17</f>
        <v>STR-1004</v>
      </c>
      <c r="B17" s="6" t="str">
        <f aca="false">Sheet2_Cleaned_Data!B17</f>
        <v>2025-01-01</v>
      </c>
      <c r="C17" s="6" t="str">
        <f aca="false">Sheet2_Cleaned_Data!C17</f>
        <v>East</v>
      </c>
      <c r="D17" s="6" t="str">
        <f aca="false">Sheet2_Cleaned_Data!D17</f>
        <v>Residential</v>
      </c>
      <c r="E17" s="15" t="n">
        <f aca="false">Sheet2_Cleaned_Data!M17</f>
        <v>922168.6</v>
      </c>
      <c r="F17" s="16" t="n">
        <f aca="false">Sheet5_Multiple_Regression!$J$6+Sheet5_Multiple_Regression!$J$7*Sheet5_Multiple_Regression!A18+Sheet5_Multiple_Regression!$J$8*Sheet5_Multiple_Regression!B18+Sheet5_Multiple_Regression!$J$9*Sheet5_Multiple_Regression!C18+Sheet5_Multiple_Regression!$J$10*Sheet5_Multiple_Regression!D18+Sheet5_Multiple_Regression!$J$11*Sheet5_Multiple_Regression!E18+Sheet5_Multiple_Regression!$J$12*Sheet5_Multiple_Regression!F18+Sheet5_Multiple_Regression!$J$13*Sheet5_Multiple_Regression!G18</f>
        <v>872478.777954952</v>
      </c>
      <c r="G17" s="16" t="n">
        <f aca="false">E17-F17</f>
        <v>49689.8220450475</v>
      </c>
      <c r="I17" s="4" t="n">
        <v>4</v>
      </c>
      <c r="J17" s="4" t="str">
        <f aca="false">INDEX($A$5:$A$324,MATCH(M17,$G$5:$G$324,0))</f>
        <v>STR-1007</v>
      </c>
      <c r="K17" s="4" t="str">
        <f aca="false">INDEX($D$5:$D$324,MATCH(M17,$G$5:$G$324,0))</f>
        <v>Mall</v>
      </c>
      <c r="L17" s="4" t="str">
        <f aca="false">INDEX($C$5:$C$324,MATCH(M17,$G$5:$G$324,0))</f>
        <v>West</v>
      </c>
      <c r="M17" s="17" t="n">
        <f aca="false">SMALL($G$5:$G$324,4)</f>
        <v>-99820.5412077612</v>
      </c>
    </row>
    <row r="18" customFormat="false" ht="15" hidden="false" customHeight="false" outlineLevel="0" collapsed="false">
      <c r="A18" s="6" t="str">
        <f aca="false">Sheet2_Cleaned_Data!A18</f>
        <v>STR-1004</v>
      </c>
      <c r="B18" s="6" t="str">
        <f aca="false">Sheet2_Cleaned_Data!B18</f>
        <v>2025-02-01</v>
      </c>
      <c r="C18" s="6" t="str">
        <f aca="false">Sheet2_Cleaned_Data!C18</f>
        <v>East</v>
      </c>
      <c r="D18" s="6" t="str">
        <f aca="false">Sheet2_Cleaned_Data!D18</f>
        <v>Residential</v>
      </c>
      <c r="E18" s="15" t="n">
        <f aca="false">Sheet2_Cleaned_Data!M18</f>
        <v>726606.28</v>
      </c>
      <c r="F18" s="16" t="n">
        <f aca="false">Sheet5_Multiple_Regression!$J$6+Sheet5_Multiple_Regression!$J$7*Sheet5_Multiple_Regression!A19+Sheet5_Multiple_Regression!$J$8*Sheet5_Multiple_Regression!B19+Sheet5_Multiple_Regression!$J$9*Sheet5_Multiple_Regression!C19+Sheet5_Multiple_Regression!$J$10*Sheet5_Multiple_Regression!D19+Sheet5_Multiple_Regression!$J$11*Sheet5_Multiple_Regression!E19+Sheet5_Multiple_Regression!$J$12*Sheet5_Multiple_Regression!F19+Sheet5_Multiple_Regression!$J$13*Sheet5_Multiple_Regression!G19</f>
        <v>769936.364546321</v>
      </c>
      <c r="G18" s="16" t="n">
        <f aca="false">E18-F18</f>
        <v>-43330.0845463207</v>
      </c>
      <c r="I18" s="4" t="n">
        <v>5</v>
      </c>
      <c r="J18" s="4" t="str">
        <f aca="false">INDEX($A$5:$A$324,MATCH(M18,$G$5:$G$324,0))</f>
        <v>STR-1009</v>
      </c>
      <c r="K18" s="4" t="str">
        <f aca="false">INDEX($D$5:$D$324,MATCH(M18,$G$5:$G$324,0))</f>
        <v>Residential</v>
      </c>
      <c r="L18" s="4" t="str">
        <f aca="false">INDEX($C$5:$C$324,MATCH(M18,$G$5:$G$324,0))</f>
        <v>North</v>
      </c>
      <c r="M18" s="17" t="n">
        <f aca="false">SMALL($G$5:$G$324,5)</f>
        <v>-98450.3194713779</v>
      </c>
    </row>
    <row r="19" customFormat="false" ht="15" hidden="false" customHeight="false" outlineLevel="0" collapsed="false">
      <c r="A19" s="6" t="str">
        <f aca="false">Sheet2_Cleaned_Data!A19</f>
        <v>STR-1004</v>
      </c>
      <c r="B19" s="6" t="str">
        <f aca="false">Sheet2_Cleaned_Data!B19</f>
        <v>2025-03-01</v>
      </c>
      <c r="C19" s="6" t="str">
        <f aca="false">Sheet2_Cleaned_Data!C19</f>
        <v>East</v>
      </c>
      <c r="D19" s="6" t="str">
        <f aca="false">Sheet2_Cleaned_Data!D19</f>
        <v>Residential</v>
      </c>
      <c r="E19" s="15" t="n">
        <f aca="false">Sheet2_Cleaned_Data!M19</f>
        <v>746501.09</v>
      </c>
      <c r="F19" s="16" t="n">
        <f aca="false">Sheet5_Multiple_Regression!$J$6+Sheet5_Multiple_Regression!$J$7*Sheet5_Multiple_Regression!A20+Sheet5_Multiple_Regression!$J$8*Sheet5_Multiple_Regression!B20+Sheet5_Multiple_Regression!$J$9*Sheet5_Multiple_Regression!C20+Sheet5_Multiple_Regression!$J$10*Sheet5_Multiple_Regression!D20+Sheet5_Multiple_Regression!$J$11*Sheet5_Multiple_Regression!E20+Sheet5_Multiple_Regression!$J$12*Sheet5_Multiple_Regression!F20+Sheet5_Multiple_Regression!$J$13*Sheet5_Multiple_Regression!G20</f>
        <v>742679.026823408</v>
      </c>
      <c r="G19" s="16" t="n">
        <f aca="false">E19-F19</f>
        <v>3822.06317659165</v>
      </c>
    </row>
    <row r="20" customFormat="false" ht="15" hidden="false" customHeight="false" outlineLevel="0" collapsed="false">
      <c r="A20" s="6" t="str">
        <f aca="false">Sheet2_Cleaned_Data!A20</f>
        <v>STR-1004</v>
      </c>
      <c r="B20" s="6" t="str">
        <f aca="false">Sheet2_Cleaned_Data!B20</f>
        <v>2025-04-01</v>
      </c>
      <c r="C20" s="6" t="str">
        <f aca="false">Sheet2_Cleaned_Data!C20</f>
        <v>East</v>
      </c>
      <c r="D20" s="6" t="str">
        <f aca="false">Sheet2_Cleaned_Data!D20</f>
        <v>Residential</v>
      </c>
      <c r="E20" s="15" t="n">
        <f aca="false">Sheet2_Cleaned_Data!M20</f>
        <v>834017.02</v>
      </c>
      <c r="F20" s="16" t="n">
        <f aca="false">Sheet5_Multiple_Regression!$J$6+Sheet5_Multiple_Regression!$J$7*Sheet5_Multiple_Regression!A21+Sheet5_Multiple_Regression!$J$8*Sheet5_Multiple_Regression!B21+Sheet5_Multiple_Regression!$J$9*Sheet5_Multiple_Regression!C21+Sheet5_Multiple_Regression!$J$10*Sheet5_Multiple_Regression!D21+Sheet5_Multiple_Regression!$J$11*Sheet5_Multiple_Regression!E21+Sheet5_Multiple_Regression!$J$12*Sheet5_Multiple_Regression!F21+Sheet5_Multiple_Regression!$J$13*Sheet5_Multiple_Regression!G21</f>
        <v>805632.609309027</v>
      </c>
      <c r="G20" s="16" t="n">
        <f aca="false">E20-F20</f>
        <v>28384.4106909726</v>
      </c>
    </row>
    <row r="21" customFormat="false" ht="15" hidden="false" customHeight="false" outlineLevel="0" collapsed="false">
      <c r="A21" s="6" t="str">
        <f aca="false">Sheet2_Cleaned_Data!A21</f>
        <v>STR-1005</v>
      </c>
      <c r="B21" s="6" t="str">
        <f aca="false">Sheet2_Cleaned_Data!B21</f>
        <v>2025-01-01</v>
      </c>
      <c r="C21" s="6" t="str">
        <f aca="false">Sheet2_Cleaned_Data!C21</f>
        <v>South</v>
      </c>
      <c r="D21" s="6" t="str">
        <f aca="false">Sheet2_Cleaned_Data!D21</f>
        <v>Residential</v>
      </c>
      <c r="E21" s="15" t="n">
        <f aca="false">Sheet2_Cleaned_Data!M21</f>
        <v>666152.52</v>
      </c>
      <c r="F21" s="16" t="n">
        <f aca="false">Sheet5_Multiple_Regression!$J$6+Sheet5_Multiple_Regression!$J$7*Sheet5_Multiple_Regression!A22+Sheet5_Multiple_Regression!$J$8*Sheet5_Multiple_Regression!B22+Sheet5_Multiple_Regression!$J$9*Sheet5_Multiple_Regression!C22+Sheet5_Multiple_Regression!$J$10*Sheet5_Multiple_Regression!D22+Sheet5_Multiple_Regression!$J$11*Sheet5_Multiple_Regression!E22+Sheet5_Multiple_Regression!$J$12*Sheet5_Multiple_Regression!F22+Sheet5_Multiple_Regression!$J$13*Sheet5_Multiple_Regression!G22</f>
        <v>677698.738095593</v>
      </c>
      <c r="G21" s="16" t="n">
        <f aca="false">E21-F21</f>
        <v>-11546.2180955929</v>
      </c>
    </row>
    <row r="22" customFormat="false" ht="15" hidden="false" customHeight="false" outlineLevel="0" collapsed="false">
      <c r="A22" s="6" t="str">
        <f aca="false">Sheet2_Cleaned_Data!A22</f>
        <v>STR-1005</v>
      </c>
      <c r="B22" s="6" t="str">
        <f aca="false">Sheet2_Cleaned_Data!B22</f>
        <v>2025-02-01</v>
      </c>
      <c r="C22" s="6" t="str">
        <f aca="false">Sheet2_Cleaned_Data!C22</f>
        <v>South</v>
      </c>
      <c r="D22" s="6" t="str">
        <f aca="false">Sheet2_Cleaned_Data!D22</f>
        <v>Residential</v>
      </c>
      <c r="E22" s="15" t="n">
        <f aca="false">Sheet2_Cleaned_Data!M22</f>
        <v>573155.19</v>
      </c>
      <c r="F22" s="16" t="n">
        <f aca="false">Sheet5_Multiple_Regression!$J$6+Sheet5_Multiple_Regression!$J$7*Sheet5_Multiple_Regression!A23+Sheet5_Multiple_Regression!$J$8*Sheet5_Multiple_Regression!B23+Sheet5_Multiple_Regression!$J$9*Sheet5_Multiple_Regression!C23+Sheet5_Multiple_Regression!$J$10*Sheet5_Multiple_Regression!D23+Sheet5_Multiple_Regression!$J$11*Sheet5_Multiple_Regression!E23+Sheet5_Multiple_Regression!$J$12*Sheet5_Multiple_Regression!F23+Sheet5_Multiple_Regression!$J$13*Sheet5_Multiple_Regression!G23</f>
        <v>588643.820178439</v>
      </c>
      <c r="G22" s="16" t="n">
        <f aca="false">E22-F22</f>
        <v>-15488.6301784386</v>
      </c>
    </row>
    <row r="23" customFormat="false" ht="15" hidden="false" customHeight="false" outlineLevel="0" collapsed="false">
      <c r="A23" s="6" t="str">
        <f aca="false">Sheet2_Cleaned_Data!A23</f>
        <v>STR-1005</v>
      </c>
      <c r="B23" s="6" t="str">
        <f aca="false">Sheet2_Cleaned_Data!B23</f>
        <v>2025-03-01</v>
      </c>
      <c r="C23" s="6" t="str">
        <f aca="false">Sheet2_Cleaned_Data!C23</f>
        <v>South</v>
      </c>
      <c r="D23" s="6" t="str">
        <f aca="false">Sheet2_Cleaned_Data!D23</f>
        <v>Residential</v>
      </c>
      <c r="E23" s="15" t="n">
        <f aca="false">Sheet2_Cleaned_Data!M23</f>
        <v>666573.2</v>
      </c>
      <c r="F23" s="16" t="n">
        <f aca="false">Sheet5_Multiple_Regression!$J$6+Sheet5_Multiple_Regression!$J$7*Sheet5_Multiple_Regression!A24+Sheet5_Multiple_Regression!$J$8*Sheet5_Multiple_Regression!B24+Sheet5_Multiple_Regression!$J$9*Sheet5_Multiple_Regression!C24+Sheet5_Multiple_Regression!$J$10*Sheet5_Multiple_Regression!D24+Sheet5_Multiple_Regression!$J$11*Sheet5_Multiple_Regression!E24+Sheet5_Multiple_Regression!$J$12*Sheet5_Multiple_Regression!F24+Sheet5_Multiple_Regression!$J$13*Sheet5_Multiple_Regression!G24</f>
        <v>681060.903279834</v>
      </c>
      <c r="G23" s="16" t="n">
        <f aca="false">E23-F23</f>
        <v>-14487.703279834</v>
      </c>
    </row>
    <row r="24" customFormat="false" ht="15" hidden="false" customHeight="false" outlineLevel="0" collapsed="false">
      <c r="A24" s="6" t="str">
        <f aca="false">Sheet2_Cleaned_Data!A24</f>
        <v>STR-1005</v>
      </c>
      <c r="B24" s="6" t="str">
        <f aca="false">Sheet2_Cleaned_Data!B24</f>
        <v>2025-04-01</v>
      </c>
      <c r="C24" s="6" t="str">
        <f aca="false">Sheet2_Cleaned_Data!C24</f>
        <v>South</v>
      </c>
      <c r="D24" s="6" t="str">
        <f aca="false">Sheet2_Cleaned_Data!D24</f>
        <v>Residential</v>
      </c>
      <c r="E24" s="15" t="n">
        <f aca="false">Sheet2_Cleaned_Data!M24</f>
        <v>591619.95</v>
      </c>
      <c r="F24" s="16" t="n">
        <f aca="false">Sheet5_Multiple_Regression!$J$6+Sheet5_Multiple_Regression!$J$7*Sheet5_Multiple_Regression!A25+Sheet5_Multiple_Regression!$J$8*Sheet5_Multiple_Regression!B25+Sheet5_Multiple_Regression!$J$9*Sheet5_Multiple_Regression!C25+Sheet5_Multiple_Regression!$J$10*Sheet5_Multiple_Regression!D25+Sheet5_Multiple_Regression!$J$11*Sheet5_Multiple_Regression!E25+Sheet5_Multiple_Regression!$J$12*Sheet5_Multiple_Regression!F25+Sheet5_Multiple_Regression!$J$13*Sheet5_Multiple_Regression!G25</f>
        <v>588111.499349264</v>
      </c>
      <c r="G24" s="16" t="n">
        <f aca="false">E24-F24</f>
        <v>3508.45065073564</v>
      </c>
    </row>
    <row r="25" customFormat="false" ht="15" hidden="false" customHeight="false" outlineLevel="0" collapsed="false">
      <c r="A25" s="6" t="str">
        <f aca="false">Sheet2_Cleaned_Data!A25</f>
        <v>STR-1006</v>
      </c>
      <c r="B25" s="6" t="str">
        <f aca="false">Sheet2_Cleaned_Data!B25</f>
        <v>2025-01-01</v>
      </c>
      <c r="C25" s="6" t="str">
        <f aca="false">Sheet2_Cleaned_Data!C25</f>
        <v>North</v>
      </c>
      <c r="D25" s="6" t="str">
        <f aca="false">Sheet2_Cleaned_Data!D25</f>
        <v>Residential</v>
      </c>
      <c r="E25" s="15" t="n">
        <f aca="false">Sheet2_Cleaned_Data!M25</f>
        <v>415721.82</v>
      </c>
      <c r="F25" s="16" t="n">
        <f aca="false">Sheet5_Multiple_Regression!$J$6+Sheet5_Multiple_Regression!$J$7*Sheet5_Multiple_Regression!A26+Sheet5_Multiple_Regression!$J$8*Sheet5_Multiple_Regression!B26+Sheet5_Multiple_Regression!$J$9*Sheet5_Multiple_Regression!C26+Sheet5_Multiple_Regression!$J$10*Sheet5_Multiple_Regression!D26+Sheet5_Multiple_Regression!$J$11*Sheet5_Multiple_Regression!E26+Sheet5_Multiple_Regression!$J$12*Sheet5_Multiple_Regression!F26+Sheet5_Multiple_Regression!$J$13*Sheet5_Multiple_Regression!G26</f>
        <v>491609.469334804</v>
      </c>
      <c r="G25" s="16" t="n">
        <f aca="false">E25-F25</f>
        <v>-75887.6493348043</v>
      </c>
    </row>
    <row r="26" customFormat="false" ht="15" hidden="false" customHeight="false" outlineLevel="0" collapsed="false">
      <c r="A26" s="6" t="str">
        <f aca="false">Sheet2_Cleaned_Data!A26</f>
        <v>STR-1006</v>
      </c>
      <c r="B26" s="6" t="str">
        <f aca="false">Sheet2_Cleaned_Data!B26</f>
        <v>2025-02-01</v>
      </c>
      <c r="C26" s="6" t="str">
        <f aca="false">Sheet2_Cleaned_Data!C26</f>
        <v>North</v>
      </c>
      <c r="D26" s="6" t="str">
        <f aca="false">Sheet2_Cleaned_Data!D26</f>
        <v>Residential</v>
      </c>
      <c r="E26" s="15" t="n">
        <f aca="false">Sheet2_Cleaned_Data!M26</f>
        <v>491905.13</v>
      </c>
      <c r="F26" s="16" t="n">
        <f aca="false">Sheet5_Multiple_Regression!$J$6+Sheet5_Multiple_Regression!$J$7*Sheet5_Multiple_Regression!A27+Sheet5_Multiple_Regression!$J$8*Sheet5_Multiple_Regression!B27+Sheet5_Multiple_Regression!$J$9*Sheet5_Multiple_Regression!C27+Sheet5_Multiple_Regression!$J$10*Sheet5_Multiple_Regression!D27+Sheet5_Multiple_Regression!$J$11*Sheet5_Multiple_Regression!E27+Sheet5_Multiple_Regression!$J$12*Sheet5_Multiple_Regression!F27+Sheet5_Multiple_Regression!$J$13*Sheet5_Multiple_Regression!G27</f>
        <v>486041.777887111</v>
      </c>
      <c r="G26" s="16" t="n">
        <f aca="false">E26-F26</f>
        <v>5863.35211288882</v>
      </c>
    </row>
    <row r="27" customFormat="false" ht="15" hidden="false" customHeight="false" outlineLevel="0" collapsed="false">
      <c r="A27" s="6" t="str">
        <f aca="false">Sheet2_Cleaned_Data!A27</f>
        <v>STR-1006</v>
      </c>
      <c r="B27" s="6" t="str">
        <f aca="false">Sheet2_Cleaned_Data!B27</f>
        <v>2025-03-01</v>
      </c>
      <c r="C27" s="6" t="str">
        <f aca="false">Sheet2_Cleaned_Data!C27</f>
        <v>North</v>
      </c>
      <c r="D27" s="6" t="str">
        <f aca="false">Sheet2_Cleaned_Data!D27</f>
        <v>Residential</v>
      </c>
      <c r="E27" s="15" t="n">
        <f aca="false">Sheet2_Cleaned_Data!M27</f>
        <v>555929.4</v>
      </c>
      <c r="F27" s="16" t="n">
        <f aca="false">Sheet5_Multiple_Regression!$J$6+Sheet5_Multiple_Regression!$J$7*Sheet5_Multiple_Regression!A28+Sheet5_Multiple_Regression!$J$8*Sheet5_Multiple_Regression!B28+Sheet5_Multiple_Regression!$J$9*Sheet5_Multiple_Regression!C28+Sheet5_Multiple_Regression!$J$10*Sheet5_Multiple_Regression!D28+Sheet5_Multiple_Regression!$J$11*Sheet5_Multiple_Regression!E28+Sheet5_Multiple_Regression!$J$12*Sheet5_Multiple_Regression!F28+Sheet5_Multiple_Regression!$J$13*Sheet5_Multiple_Regression!G28</f>
        <v>519517.897397338</v>
      </c>
      <c r="G27" s="16" t="n">
        <f aca="false">E27-F27</f>
        <v>36411.5026026621</v>
      </c>
    </row>
    <row r="28" customFormat="false" ht="15" hidden="false" customHeight="false" outlineLevel="0" collapsed="false">
      <c r="A28" s="6" t="str">
        <f aca="false">Sheet2_Cleaned_Data!A28</f>
        <v>STR-1006</v>
      </c>
      <c r="B28" s="6" t="str">
        <f aca="false">Sheet2_Cleaned_Data!B28</f>
        <v>2025-04-01</v>
      </c>
      <c r="C28" s="6" t="str">
        <f aca="false">Sheet2_Cleaned_Data!C28</f>
        <v>North</v>
      </c>
      <c r="D28" s="6" t="str">
        <f aca="false">Sheet2_Cleaned_Data!D28</f>
        <v>Residential</v>
      </c>
      <c r="E28" s="15" t="n">
        <f aca="false">Sheet2_Cleaned_Data!M28</f>
        <v>565810.99</v>
      </c>
      <c r="F28" s="16" t="n">
        <f aca="false">Sheet5_Multiple_Regression!$J$6+Sheet5_Multiple_Regression!$J$7*Sheet5_Multiple_Regression!A29+Sheet5_Multiple_Regression!$J$8*Sheet5_Multiple_Regression!B29+Sheet5_Multiple_Regression!$J$9*Sheet5_Multiple_Regression!C29+Sheet5_Multiple_Regression!$J$10*Sheet5_Multiple_Regression!D29+Sheet5_Multiple_Regression!$J$11*Sheet5_Multiple_Regression!E29+Sheet5_Multiple_Regression!$J$12*Sheet5_Multiple_Regression!F29+Sheet5_Multiple_Regression!$J$13*Sheet5_Multiple_Regression!G29</f>
        <v>544317.11227922</v>
      </c>
      <c r="G28" s="16" t="n">
        <f aca="false">E28-F28</f>
        <v>21493.8777207796</v>
      </c>
    </row>
    <row r="29" customFormat="false" ht="15" hidden="false" customHeight="false" outlineLevel="0" collapsed="false">
      <c r="A29" s="6" t="str">
        <f aca="false">Sheet2_Cleaned_Data!A29</f>
        <v>STR-1007</v>
      </c>
      <c r="B29" s="6" t="str">
        <f aca="false">Sheet2_Cleaned_Data!B29</f>
        <v>2025-01-01</v>
      </c>
      <c r="C29" s="6" t="str">
        <f aca="false">Sheet2_Cleaned_Data!C29</f>
        <v>West</v>
      </c>
      <c r="D29" s="6" t="str">
        <f aca="false">Sheet2_Cleaned_Data!D29</f>
        <v>Mall</v>
      </c>
      <c r="E29" s="15" t="n">
        <f aca="false">Sheet2_Cleaned_Data!M29</f>
        <v>811771.14</v>
      </c>
      <c r="F29" s="16" t="n">
        <f aca="false">Sheet5_Multiple_Regression!$J$6+Sheet5_Multiple_Regression!$J$7*Sheet5_Multiple_Regression!A30+Sheet5_Multiple_Regression!$J$8*Sheet5_Multiple_Regression!B30+Sheet5_Multiple_Regression!$J$9*Sheet5_Multiple_Regression!C30+Sheet5_Multiple_Regression!$J$10*Sheet5_Multiple_Regression!D30+Sheet5_Multiple_Regression!$J$11*Sheet5_Multiple_Regression!E30+Sheet5_Multiple_Regression!$J$12*Sheet5_Multiple_Regression!F30+Sheet5_Multiple_Regression!$J$13*Sheet5_Multiple_Regression!G30</f>
        <v>836959.020569178</v>
      </c>
      <c r="G29" s="16" t="n">
        <f aca="false">E29-F29</f>
        <v>-25187.8805691784</v>
      </c>
    </row>
    <row r="30" customFormat="false" ht="15" hidden="false" customHeight="false" outlineLevel="0" collapsed="false">
      <c r="A30" s="6" t="str">
        <f aca="false">Sheet2_Cleaned_Data!A30</f>
        <v>STR-1007</v>
      </c>
      <c r="B30" s="6" t="str">
        <f aca="false">Sheet2_Cleaned_Data!B30</f>
        <v>2025-02-01</v>
      </c>
      <c r="C30" s="6" t="str">
        <f aca="false">Sheet2_Cleaned_Data!C30</f>
        <v>West</v>
      </c>
      <c r="D30" s="6" t="str">
        <f aca="false">Sheet2_Cleaned_Data!D30</f>
        <v>Mall</v>
      </c>
      <c r="E30" s="15" t="n">
        <f aca="false">Sheet2_Cleaned_Data!M30</f>
        <v>800451.94</v>
      </c>
      <c r="F30" s="16" t="n">
        <f aca="false">Sheet5_Multiple_Regression!$J$6+Sheet5_Multiple_Regression!$J$7*Sheet5_Multiple_Regression!A31+Sheet5_Multiple_Regression!$J$8*Sheet5_Multiple_Regression!B31+Sheet5_Multiple_Regression!$J$9*Sheet5_Multiple_Regression!C31+Sheet5_Multiple_Regression!$J$10*Sheet5_Multiple_Regression!D31+Sheet5_Multiple_Regression!$J$11*Sheet5_Multiple_Regression!E31+Sheet5_Multiple_Regression!$J$12*Sheet5_Multiple_Regression!F31+Sheet5_Multiple_Regression!$J$13*Sheet5_Multiple_Regression!G31</f>
        <v>900272.481207761</v>
      </c>
      <c r="G30" s="16" t="n">
        <f aca="false">E30-F30</f>
        <v>-99820.5412077612</v>
      </c>
    </row>
    <row r="31" customFormat="false" ht="15" hidden="false" customHeight="false" outlineLevel="0" collapsed="false">
      <c r="A31" s="6" t="str">
        <f aca="false">Sheet2_Cleaned_Data!A31</f>
        <v>STR-1007</v>
      </c>
      <c r="B31" s="6" t="str">
        <f aca="false">Sheet2_Cleaned_Data!B31</f>
        <v>2025-03-01</v>
      </c>
      <c r="C31" s="6" t="str">
        <f aca="false">Sheet2_Cleaned_Data!C31</f>
        <v>West</v>
      </c>
      <c r="D31" s="6" t="str">
        <f aca="false">Sheet2_Cleaned_Data!D31</f>
        <v>Mall</v>
      </c>
      <c r="E31" s="15" t="n">
        <f aca="false">Sheet2_Cleaned_Data!M31</f>
        <v>783672.82</v>
      </c>
      <c r="F31" s="16" t="n">
        <f aca="false">Sheet5_Multiple_Regression!$J$6+Sheet5_Multiple_Regression!$J$7*Sheet5_Multiple_Regression!A32+Sheet5_Multiple_Regression!$J$8*Sheet5_Multiple_Regression!B32+Sheet5_Multiple_Regression!$J$9*Sheet5_Multiple_Regression!C32+Sheet5_Multiple_Regression!$J$10*Sheet5_Multiple_Regression!D32+Sheet5_Multiple_Regression!$J$11*Sheet5_Multiple_Regression!E32+Sheet5_Multiple_Regression!$J$12*Sheet5_Multiple_Regression!F32+Sheet5_Multiple_Regression!$J$13*Sheet5_Multiple_Regression!G32</f>
        <v>792200.712595104</v>
      </c>
      <c r="G31" s="16" t="n">
        <f aca="false">E31-F31</f>
        <v>-8527.89259510418</v>
      </c>
    </row>
    <row r="32" customFormat="false" ht="15" hidden="false" customHeight="false" outlineLevel="0" collapsed="false">
      <c r="A32" s="6" t="str">
        <f aca="false">Sheet2_Cleaned_Data!A32</f>
        <v>STR-1007</v>
      </c>
      <c r="B32" s="6" t="str">
        <f aca="false">Sheet2_Cleaned_Data!B32</f>
        <v>2025-04-01</v>
      </c>
      <c r="C32" s="6" t="str">
        <f aca="false">Sheet2_Cleaned_Data!C32</f>
        <v>West</v>
      </c>
      <c r="D32" s="6" t="str">
        <f aca="false">Sheet2_Cleaned_Data!D32</f>
        <v>Mall</v>
      </c>
      <c r="E32" s="15" t="n">
        <f aca="false">Sheet2_Cleaned_Data!M32</f>
        <v>701641.97</v>
      </c>
      <c r="F32" s="16" t="n">
        <f aca="false">Sheet5_Multiple_Regression!$J$6+Sheet5_Multiple_Regression!$J$7*Sheet5_Multiple_Regression!A33+Sheet5_Multiple_Regression!$J$8*Sheet5_Multiple_Regression!B33+Sheet5_Multiple_Regression!$J$9*Sheet5_Multiple_Regression!C33+Sheet5_Multiple_Regression!$J$10*Sheet5_Multiple_Regression!D33+Sheet5_Multiple_Regression!$J$11*Sheet5_Multiple_Regression!E33+Sheet5_Multiple_Regression!$J$12*Sheet5_Multiple_Regression!F33+Sheet5_Multiple_Regression!$J$13*Sheet5_Multiple_Regression!G33</f>
        <v>698456.524405228</v>
      </c>
      <c r="G32" s="16" t="n">
        <f aca="false">E32-F32</f>
        <v>3185.44559477165</v>
      </c>
    </row>
    <row r="33" customFormat="false" ht="15" hidden="false" customHeight="false" outlineLevel="0" collapsed="false">
      <c r="A33" s="6" t="str">
        <f aca="false">Sheet2_Cleaned_Data!A33</f>
        <v>STR-1008</v>
      </c>
      <c r="B33" s="6" t="str">
        <f aca="false">Sheet2_Cleaned_Data!B33</f>
        <v>2025-01-01</v>
      </c>
      <c r="C33" s="6" t="str">
        <f aca="false">Sheet2_Cleaned_Data!C33</f>
        <v>East</v>
      </c>
      <c r="D33" s="6" t="str">
        <f aca="false">Sheet2_Cleaned_Data!D33</f>
        <v>Residential</v>
      </c>
      <c r="E33" s="15" t="n">
        <f aca="false">Sheet2_Cleaned_Data!M33</f>
        <v>511844.41</v>
      </c>
      <c r="F33" s="16" t="n">
        <f aca="false">Sheet5_Multiple_Regression!$J$6+Sheet5_Multiple_Regression!$J$7*Sheet5_Multiple_Regression!A34+Sheet5_Multiple_Regression!$J$8*Sheet5_Multiple_Regression!B34+Sheet5_Multiple_Regression!$J$9*Sheet5_Multiple_Regression!C34+Sheet5_Multiple_Regression!$J$10*Sheet5_Multiple_Regression!D34+Sheet5_Multiple_Regression!$J$11*Sheet5_Multiple_Regression!E34+Sheet5_Multiple_Regression!$J$12*Sheet5_Multiple_Regression!F34+Sheet5_Multiple_Regression!$J$13*Sheet5_Multiple_Regression!G34</f>
        <v>582340.439103278</v>
      </c>
      <c r="G33" s="16" t="n">
        <f aca="false">E33-F33</f>
        <v>-70496.0291032784</v>
      </c>
    </row>
    <row r="34" customFormat="false" ht="15" hidden="false" customHeight="false" outlineLevel="0" collapsed="false">
      <c r="A34" s="6" t="str">
        <f aca="false">Sheet2_Cleaned_Data!A34</f>
        <v>STR-1008</v>
      </c>
      <c r="B34" s="6" t="str">
        <f aca="false">Sheet2_Cleaned_Data!B34</f>
        <v>2025-02-01</v>
      </c>
      <c r="C34" s="6" t="str">
        <f aca="false">Sheet2_Cleaned_Data!C34</f>
        <v>East</v>
      </c>
      <c r="D34" s="6" t="str">
        <f aca="false">Sheet2_Cleaned_Data!D34</f>
        <v>Residential</v>
      </c>
      <c r="E34" s="15" t="n">
        <f aca="false">Sheet2_Cleaned_Data!M34</f>
        <v>537383.79</v>
      </c>
      <c r="F34" s="16" t="n">
        <f aca="false">Sheet5_Multiple_Regression!$J$6+Sheet5_Multiple_Regression!$J$7*Sheet5_Multiple_Regression!A35+Sheet5_Multiple_Regression!$J$8*Sheet5_Multiple_Regression!B35+Sheet5_Multiple_Regression!$J$9*Sheet5_Multiple_Regression!C35+Sheet5_Multiple_Regression!$J$10*Sheet5_Multiple_Regression!D35+Sheet5_Multiple_Regression!$J$11*Sheet5_Multiple_Regression!E35+Sheet5_Multiple_Regression!$J$12*Sheet5_Multiple_Regression!F35+Sheet5_Multiple_Regression!$J$13*Sheet5_Multiple_Regression!G35</f>
        <v>524305.489486554</v>
      </c>
      <c r="G34" s="16" t="n">
        <f aca="false">E34-F34</f>
        <v>13078.3005134457</v>
      </c>
    </row>
    <row r="35" customFormat="false" ht="15" hidden="false" customHeight="false" outlineLevel="0" collapsed="false">
      <c r="A35" s="6" t="str">
        <f aca="false">Sheet2_Cleaned_Data!A35</f>
        <v>STR-1008</v>
      </c>
      <c r="B35" s="6" t="str">
        <f aca="false">Sheet2_Cleaned_Data!B35</f>
        <v>2025-03-01</v>
      </c>
      <c r="C35" s="6" t="str">
        <f aca="false">Sheet2_Cleaned_Data!C35</f>
        <v>East</v>
      </c>
      <c r="D35" s="6" t="str">
        <f aca="false">Sheet2_Cleaned_Data!D35</f>
        <v>Residential</v>
      </c>
      <c r="E35" s="15" t="n">
        <f aca="false">Sheet2_Cleaned_Data!M35</f>
        <v>500173.02</v>
      </c>
      <c r="F35" s="16" t="n">
        <f aca="false">Sheet5_Multiple_Regression!$J$6+Sheet5_Multiple_Regression!$J$7*Sheet5_Multiple_Regression!A36+Sheet5_Multiple_Regression!$J$8*Sheet5_Multiple_Regression!B36+Sheet5_Multiple_Regression!$J$9*Sheet5_Multiple_Regression!C36+Sheet5_Multiple_Regression!$J$10*Sheet5_Multiple_Regression!D36+Sheet5_Multiple_Regression!$J$11*Sheet5_Multiple_Regression!E36+Sheet5_Multiple_Regression!$J$12*Sheet5_Multiple_Regression!F36+Sheet5_Multiple_Regression!$J$13*Sheet5_Multiple_Regression!G36</f>
        <v>510826.368471549</v>
      </c>
      <c r="G35" s="16" t="n">
        <f aca="false">E35-F35</f>
        <v>-10653.3484715486</v>
      </c>
    </row>
    <row r="36" customFormat="false" ht="15" hidden="false" customHeight="false" outlineLevel="0" collapsed="false">
      <c r="A36" s="6" t="str">
        <f aca="false">Sheet2_Cleaned_Data!A36</f>
        <v>STR-1008</v>
      </c>
      <c r="B36" s="6" t="str">
        <f aca="false">Sheet2_Cleaned_Data!B36</f>
        <v>2025-04-01</v>
      </c>
      <c r="C36" s="6" t="str">
        <f aca="false">Sheet2_Cleaned_Data!C36</f>
        <v>East</v>
      </c>
      <c r="D36" s="6" t="str">
        <f aca="false">Sheet2_Cleaned_Data!D36</f>
        <v>Residential</v>
      </c>
      <c r="E36" s="15" t="n">
        <f aca="false">Sheet2_Cleaned_Data!M36</f>
        <v>427917.38</v>
      </c>
      <c r="F36" s="16" t="n">
        <f aca="false">Sheet5_Multiple_Regression!$J$6+Sheet5_Multiple_Regression!$J$7*Sheet5_Multiple_Regression!A37+Sheet5_Multiple_Regression!$J$8*Sheet5_Multiple_Regression!B37+Sheet5_Multiple_Regression!$J$9*Sheet5_Multiple_Regression!C37+Sheet5_Multiple_Regression!$J$10*Sheet5_Multiple_Regression!D37+Sheet5_Multiple_Regression!$J$11*Sheet5_Multiple_Regression!E37+Sheet5_Multiple_Regression!$J$12*Sheet5_Multiple_Regression!F37+Sheet5_Multiple_Regression!$J$13*Sheet5_Multiple_Regression!G37</f>
        <v>494305.197438638</v>
      </c>
      <c r="G36" s="16" t="n">
        <f aca="false">E36-F36</f>
        <v>-66387.8174386382</v>
      </c>
    </row>
    <row r="37" customFormat="false" ht="15" hidden="false" customHeight="false" outlineLevel="0" collapsed="false">
      <c r="A37" s="6" t="str">
        <f aca="false">Sheet2_Cleaned_Data!A37</f>
        <v>STR-1009</v>
      </c>
      <c r="B37" s="6" t="str">
        <f aca="false">Sheet2_Cleaned_Data!B37</f>
        <v>2025-01-01</v>
      </c>
      <c r="C37" s="6" t="str">
        <f aca="false">Sheet2_Cleaned_Data!C37</f>
        <v>North</v>
      </c>
      <c r="D37" s="6" t="str">
        <f aca="false">Sheet2_Cleaned_Data!D37</f>
        <v>Residential</v>
      </c>
      <c r="E37" s="15" t="n">
        <f aca="false">Sheet2_Cleaned_Data!M37</f>
        <v>641865.03</v>
      </c>
      <c r="F37" s="16" t="n">
        <f aca="false">Sheet5_Multiple_Regression!$J$6+Sheet5_Multiple_Regression!$J$7*Sheet5_Multiple_Regression!A38+Sheet5_Multiple_Regression!$J$8*Sheet5_Multiple_Regression!B38+Sheet5_Multiple_Regression!$J$9*Sheet5_Multiple_Regression!C38+Sheet5_Multiple_Regression!$J$10*Sheet5_Multiple_Regression!D38+Sheet5_Multiple_Regression!$J$11*Sheet5_Multiple_Regression!E38+Sheet5_Multiple_Regression!$J$12*Sheet5_Multiple_Regression!F38+Sheet5_Multiple_Regression!$J$13*Sheet5_Multiple_Regression!G38</f>
        <v>740315.349471378</v>
      </c>
      <c r="G37" s="16" t="n">
        <f aca="false">E37-F37</f>
        <v>-98450.3194713779</v>
      </c>
    </row>
    <row r="38" customFormat="false" ht="15" hidden="false" customHeight="false" outlineLevel="0" collapsed="false">
      <c r="A38" s="6" t="str">
        <f aca="false">Sheet2_Cleaned_Data!A38</f>
        <v>STR-1009</v>
      </c>
      <c r="B38" s="6" t="str">
        <f aca="false">Sheet2_Cleaned_Data!B38</f>
        <v>2025-02-01</v>
      </c>
      <c r="C38" s="6" t="str">
        <f aca="false">Sheet2_Cleaned_Data!C38</f>
        <v>North</v>
      </c>
      <c r="D38" s="6" t="str">
        <f aca="false">Sheet2_Cleaned_Data!D38</f>
        <v>Residential</v>
      </c>
      <c r="E38" s="15" t="n">
        <f aca="false">Sheet2_Cleaned_Data!M38</f>
        <v>799477.76</v>
      </c>
      <c r="F38" s="16" t="n">
        <f aca="false">Sheet5_Multiple_Regression!$J$6+Sheet5_Multiple_Regression!$J$7*Sheet5_Multiple_Regression!A39+Sheet5_Multiple_Regression!$J$8*Sheet5_Multiple_Regression!B39+Sheet5_Multiple_Regression!$J$9*Sheet5_Multiple_Regression!C39+Sheet5_Multiple_Regression!$J$10*Sheet5_Multiple_Regression!D39+Sheet5_Multiple_Regression!$J$11*Sheet5_Multiple_Regression!E39+Sheet5_Multiple_Regression!$J$12*Sheet5_Multiple_Regression!F39+Sheet5_Multiple_Regression!$J$13*Sheet5_Multiple_Regression!G39</f>
        <v>850100.475148599</v>
      </c>
      <c r="G38" s="16" t="n">
        <f aca="false">E38-F38</f>
        <v>-50622.7151485991</v>
      </c>
    </row>
    <row r="39" customFormat="false" ht="15" hidden="false" customHeight="false" outlineLevel="0" collapsed="false">
      <c r="A39" s="6" t="str">
        <f aca="false">Sheet2_Cleaned_Data!A39</f>
        <v>STR-1009</v>
      </c>
      <c r="B39" s="6" t="str">
        <f aca="false">Sheet2_Cleaned_Data!B39</f>
        <v>2025-03-01</v>
      </c>
      <c r="C39" s="6" t="str">
        <f aca="false">Sheet2_Cleaned_Data!C39</f>
        <v>North</v>
      </c>
      <c r="D39" s="6" t="str">
        <f aca="false">Sheet2_Cleaned_Data!D39</f>
        <v>Residential</v>
      </c>
      <c r="E39" s="15" t="n">
        <f aca="false">Sheet2_Cleaned_Data!M39</f>
        <v>798952.17</v>
      </c>
      <c r="F39" s="16" t="n">
        <f aca="false">Sheet5_Multiple_Regression!$J$6+Sheet5_Multiple_Regression!$J$7*Sheet5_Multiple_Regression!A40+Sheet5_Multiple_Regression!$J$8*Sheet5_Multiple_Regression!B40+Sheet5_Multiple_Regression!$J$9*Sheet5_Multiple_Regression!C40+Sheet5_Multiple_Regression!$J$10*Sheet5_Multiple_Regression!D40+Sheet5_Multiple_Regression!$J$11*Sheet5_Multiple_Regression!E40+Sheet5_Multiple_Regression!$J$12*Sheet5_Multiple_Regression!F40+Sheet5_Multiple_Regression!$J$13*Sheet5_Multiple_Regression!G40</f>
        <v>799273.826284767</v>
      </c>
      <c r="G39" s="16" t="n">
        <f aca="false">E39-F39</f>
        <v>-321.656284767319</v>
      </c>
    </row>
    <row r="40" customFormat="false" ht="15" hidden="false" customHeight="false" outlineLevel="0" collapsed="false">
      <c r="A40" s="6" t="str">
        <f aca="false">Sheet2_Cleaned_Data!A40</f>
        <v>STR-1009</v>
      </c>
      <c r="B40" s="6" t="str">
        <f aca="false">Sheet2_Cleaned_Data!B40</f>
        <v>2025-04-01</v>
      </c>
      <c r="C40" s="6" t="str">
        <f aca="false">Sheet2_Cleaned_Data!C40</f>
        <v>North</v>
      </c>
      <c r="D40" s="6" t="str">
        <f aca="false">Sheet2_Cleaned_Data!D40</f>
        <v>Residential</v>
      </c>
      <c r="E40" s="15" t="n">
        <f aca="false">Sheet2_Cleaned_Data!M40</f>
        <v>800979.78</v>
      </c>
      <c r="F40" s="16" t="n">
        <f aca="false">Sheet5_Multiple_Regression!$J$6+Sheet5_Multiple_Regression!$J$7*Sheet5_Multiple_Regression!A41+Sheet5_Multiple_Regression!$J$8*Sheet5_Multiple_Regression!B41+Sheet5_Multiple_Regression!$J$9*Sheet5_Multiple_Regression!C41+Sheet5_Multiple_Regression!$J$10*Sheet5_Multiple_Regression!D41+Sheet5_Multiple_Regression!$J$11*Sheet5_Multiple_Regression!E41+Sheet5_Multiple_Regression!$J$12*Sheet5_Multiple_Regression!F41+Sheet5_Multiple_Regression!$J$13*Sheet5_Multiple_Regression!G41</f>
        <v>815966.223145748</v>
      </c>
      <c r="G40" s="16" t="n">
        <f aca="false">E40-F40</f>
        <v>-14986.443145748</v>
      </c>
    </row>
    <row r="41" customFormat="false" ht="15" hidden="false" customHeight="false" outlineLevel="0" collapsed="false">
      <c r="A41" s="6" t="str">
        <f aca="false">Sheet2_Cleaned_Data!A41</f>
        <v>STR-1010</v>
      </c>
      <c r="B41" s="6" t="str">
        <f aca="false">Sheet2_Cleaned_Data!B41</f>
        <v>2025-01-01</v>
      </c>
      <c r="C41" s="6" t="str">
        <f aca="false">Sheet2_Cleaned_Data!C41</f>
        <v>North</v>
      </c>
      <c r="D41" s="6" t="str">
        <f aca="false">Sheet2_Cleaned_Data!D41</f>
        <v>Mall</v>
      </c>
      <c r="E41" s="15" t="n">
        <f aca="false">Sheet2_Cleaned_Data!M41</f>
        <v>820593.93</v>
      </c>
      <c r="F41" s="16" t="n">
        <f aca="false">Sheet5_Multiple_Regression!$J$6+Sheet5_Multiple_Regression!$J$7*Sheet5_Multiple_Regression!A42+Sheet5_Multiple_Regression!$J$8*Sheet5_Multiple_Regression!B42+Sheet5_Multiple_Regression!$J$9*Sheet5_Multiple_Regression!C42+Sheet5_Multiple_Regression!$J$10*Sheet5_Multiple_Regression!D42+Sheet5_Multiple_Regression!$J$11*Sheet5_Multiple_Regression!E42+Sheet5_Multiple_Regression!$J$12*Sheet5_Multiple_Regression!F42+Sheet5_Multiple_Regression!$J$13*Sheet5_Multiple_Regression!G42</f>
        <v>777578.272473643</v>
      </c>
      <c r="G41" s="16" t="n">
        <f aca="false">E41-F41</f>
        <v>43015.6575263575</v>
      </c>
    </row>
    <row r="42" customFormat="false" ht="15" hidden="false" customHeight="false" outlineLevel="0" collapsed="false">
      <c r="A42" s="6" t="str">
        <f aca="false">Sheet2_Cleaned_Data!A42</f>
        <v>STR-1010</v>
      </c>
      <c r="B42" s="6" t="str">
        <f aca="false">Sheet2_Cleaned_Data!B42</f>
        <v>2025-02-01</v>
      </c>
      <c r="C42" s="6" t="str">
        <f aca="false">Sheet2_Cleaned_Data!C42</f>
        <v>North</v>
      </c>
      <c r="D42" s="6" t="str">
        <f aca="false">Sheet2_Cleaned_Data!D42</f>
        <v>Mall</v>
      </c>
      <c r="E42" s="15" t="n">
        <f aca="false">Sheet2_Cleaned_Data!M42</f>
        <v>718330.53</v>
      </c>
      <c r="F42" s="16" t="n">
        <f aca="false">Sheet5_Multiple_Regression!$J$6+Sheet5_Multiple_Regression!$J$7*Sheet5_Multiple_Regression!A43+Sheet5_Multiple_Regression!$J$8*Sheet5_Multiple_Regression!B43+Sheet5_Multiple_Regression!$J$9*Sheet5_Multiple_Regression!C43+Sheet5_Multiple_Regression!$J$10*Sheet5_Multiple_Regression!D43+Sheet5_Multiple_Regression!$J$11*Sheet5_Multiple_Regression!E43+Sheet5_Multiple_Regression!$J$12*Sheet5_Multiple_Regression!F43+Sheet5_Multiple_Regression!$J$13*Sheet5_Multiple_Regression!G43</f>
        <v>763914.525494593</v>
      </c>
      <c r="G42" s="16" t="n">
        <f aca="false">E42-F42</f>
        <v>-45583.9954945931</v>
      </c>
    </row>
    <row r="43" customFormat="false" ht="15" hidden="false" customHeight="false" outlineLevel="0" collapsed="false">
      <c r="A43" s="6" t="str">
        <f aca="false">Sheet2_Cleaned_Data!A43</f>
        <v>STR-1010</v>
      </c>
      <c r="B43" s="6" t="str">
        <f aca="false">Sheet2_Cleaned_Data!B43</f>
        <v>2025-03-01</v>
      </c>
      <c r="C43" s="6" t="str">
        <f aca="false">Sheet2_Cleaned_Data!C43</f>
        <v>North</v>
      </c>
      <c r="D43" s="6" t="str">
        <f aca="false">Sheet2_Cleaned_Data!D43</f>
        <v>Mall</v>
      </c>
      <c r="E43" s="15" t="n">
        <f aca="false">Sheet2_Cleaned_Data!M43</f>
        <v>736633.4</v>
      </c>
      <c r="F43" s="16" t="n">
        <f aca="false">Sheet5_Multiple_Regression!$J$6+Sheet5_Multiple_Regression!$J$7*Sheet5_Multiple_Regression!A44+Sheet5_Multiple_Regression!$J$8*Sheet5_Multiple_Regression!B44+Sheet5_Multiple_Regression!$J$9*Sheet5_Multiple_Regression!C44+Sheet5_Multiple_Regression!$J$10*Sheet5_Multiple_Regression!D44+Sheet5_Multiple_Regression!$J$11*Sheet5_Multiple_Regression!E44+Sheet5_Multiple_Regression!$J$12*Sheet5_Multiple_Regression!F44+Sheet5_Multiple_Regression!$J$13*Sheet5_Multiple_Regression!G44</f>
        <v>748885.344123199</v>
      </c>
      <c r="G43" s="16" t="n">
        <f aca="false">E43-F43</f>
        <v>-12251.9441231987</v>
      </c>
    </row>
    <row r="44" customFormat="false" ht="15" hidden="false" customHeight="false" outlineLevel="0" collapsed="false">
      <c r="A44" s="6" t="str">
        <f aca="false">Sheet2_Cleaned_Data!A44</f>
        <v>STR-1010</v>
      </c>
      <c r="B44" s="6" t="str">
        <f aca="false">Sheet2_Cleaned_Data!B44</f>
        <v>2025-04-01</v>
      </c>
      <c r="C44" s="6" t="str">
        <f aca="false">Sheet2_Cleaned_Data!C44</f>
        <v>North</v>
      </c>
      <c r="D44" s="6" t="str">
        <f aca="false">Sheet2_Cleaned_Data!D44</f>
        <v>Mall</v>
      </c>
      <c r="E44" s="15" t="n">
        <f aca="false">Sheet2_Cleaned_Data!M44</f>
        <v>828623.85</v>
      </c>
      <c r="F44" s="16" t="n">
        <f aca="false">Sheet5_Multiple_Regression!$J$6+Sheet5_Multiple_Regression!$J$7*Sheet5_Multiple_Regression!A45+Sheet5_Multiple_Regression!$J$8*Sheet5_Multiple_Regression!B45+Sheet5_Multiple_Regression!$J$9*Sheet5_Multiple_Regression!C45+Sheet5_Multiple_Regression!$J$10*Sheet5_Multiple_Regression!D45+Sheet5_Multiple_Regression!$J$11*Sheet5_Multiple_Regression!E45+Sheet5_Multiple_Regression!$J$12*Sheet5_Multiple_Regression!F45+Sheet5_Multiple_Regression!$J$13*Sheet5_Multiple_Regression!G45</f>
        <v>837238.58706205</v>
      </c>
      <c r="G44" s="16" t="n">
        <f aca="false">E44-F44</f>
        <v>-8614.73706204991</v>
      </c>
    </row>
    <row r="45" customFormat="false" ht="15" hidden="false" customHeight="false" outlineLevel="0" collapsed="false">
      <c r="A45" s="6" t="str">
        <f aca="false">Sheet2_Cleaned_Data!A45</f>
        <v>STR-1011</v>
      </c>
      <c r="B45" s="6" t="str">
        <f aca="false">Sheet2_Cleaned_Data!B45</f>
        <v>2025-01-01</v>
      </c>
      <c r="C45" s="6" t="str">
        <f aca="false">Sheet2_Cleaned_Data!C45</f>
        <v>East</v>
      </c>
      <c r="D45" s="6" t="str">
        <f aca="false">Sheet2_Cleaned_Data!D45</f>
        <v>Mall</v>
      </c>
      <c r="E45" s="15" t="n">
        <f aca="false">Sheet2_Cleaned_Data!M45</f>
        <v>592195.85</v>
      </c>
      <c r="F45" s="16" t="n">
        <f aca="false">Sheet5_Multiple_Regression!$J$6+Sheet5_Multiple_Regression!$J$7*Sheet5_Multiple_Regression!A46+Sheet5_Multiple_Regression!$J$8*Sheet5_Multiple_Regression!B46+Sheet5_Multiple_Regression!$J$9*Sheet5_Multiple_Regression!C46+Sheet5_Multiple_Regression!$J$10*Sheet5_Multiple_Regression!D46+Sheet5_Multiple_Regression!$J$11*Sheet5_Multiple_Regression!E46+Sheet5_Multiple_Regression!$J$12*Sheet5_Multiple_Regression!F46+Sheet5_Multiple_Regression!$J$13*Sheet5_Multiple_Regression!G46</f>
        <v>591587.198816133</v>
      </c>
      <c r="G45" s="16" t="n">
        <f aca="false">E45-F45</f>
        <v>608.651183867129</v>
      </c>
    </row>
    <row r="46" customFormat="false" ht="15" hidden="false" customHeight="false" outlineLevel="0" collapsed="false">
      <c r="A46" s="6" t="str">
        <f aca="false">Sheet2_Cleaned_Data!A46</f>
        <v>STR-1011</v>
      </c>
      <c r="B46" s="6" t="str">
        <f aca="false">Sheet2_Cleaned_Data!B46</f>
        <v>2025-02-01</v>
      </c>
      <c r="C46" s="6" t="str">
        <f aca="false">Sheet2_Cleaned_Data!C46</f>
        <v>East</v>
      </c>
      <c r="D46" s="6" t="str">
        <f aca="false">Sheet2_Cleaned_Data!D46</f>
        <v>Mall</v>
      </c>
      <c r="E46" s="15" t="n">
        <f aca="false">Sheet2_Cleaned_Data!M46</f>
        <v>532644.46</v>
      </c>
      <c r="F46" s="16" t="n">
        <f aca="false">Sheet5_Multiple_Regression!$J$6+Sheet5_Multiple_Regression!$J$7*Sheet5_Multiple_Regression!A47+Sheet5_Multiple_Regression!$J$8*Sheet5_Multiple_Regression!B47+Sheet5_Multiple_Regression!$J$9*Sheet5_Multiple_Regression!C47+Sheet5_Multiple_Regression!$J$10*Sheet5_Multiple_Regression!D47+Sheet5_Multiple_Regression!$J$11*Sheet5_Multiple_Regression!E47+Sheet5_Multiple_Regression!$J$12*Sheet5_Multiple_Regression!F47+Sheet5_Multiple_Regression!$J$13*Sheet5_Multiple_Regression!G47</f>
        <v>528603.682588707</v>
      </c>
      <c r="G46" s="16" t="n">
        <f aca="false">E46-F46</f>
        <v>4040.77741129277</v>
      </c>
    </row>
    <row r="47" customFormat="false" ht="15" hidden="false" customHeight="false" outlineLevel="0" collapsed="false">
      <c r="A47" s="6" t="str">
        <f aca="false">Sheet2_Cleaned_Data!A47</f>
        <v>STR-1011</v>
      </c>
      <c r="B47" s="6" t="str">
        <f aca="false">Sheet2_Cleaned_Data!B47</f>
        <v>2025-03-01</v>
      </c>
      <c r="C47" s="6" t="str">
        <f aca="false">Sheet2_Cleaned_Data!C47</f>
        <v>East</v>
      </c>
      <c r="D47" s="6" t="str">
        <f aca="false">Sheet2_Cleaned_Data!D47</f>
        <v>Mall</v>
      </c>
      <c r="E47" s="15" t="n">
        <f aca="false">Sheet2_Cleaned_Data!M47</f>
        <v>657429.18</v>
      </c>
      <c r="F47" s="16" t="n">
        <f aca="false">Sheet5_Multiple_Regression!$J$6+Sheet5_Multiple_Regression!$J$7*Sheet5_Multiple_Regression!A48+Sheet5_Multiple_Regression!$J$8*Sheet5_Multiple_Regression!B48+Sheet5_Multiple_Regression!$J$9*Sheet5_Multiple_Regression!C48+Sheet5_Multiple_Regression!$J$10*Sheet5_Multiple_Regression!D48+Sheet5_Multiple_Regression!$J$11*Sheet5_Multiple_Regression!E48+Sheet5_Multiple_Regression!$J$12*Sheet5_Multiple_Regression!F48+Sheet5_Multiple_Regression!$J$13*Sheet5_Multiple_Regression!G48</f>
        <v>597967.001209693</v>
      </c>
      <c r="G47" s="16" t="n">
        <f aca="false">E47-F47</f>
        <v>59462.1787903067</v>
      </c>
    </row>
    <row r="48" customFormat="false" ht="15" hidden="false" customHeight="false" outlineLevel="0" collapsed="false">
      <c r="A48" s="6" t="str">
        <f aca="false">Sheet2_Cleaned_Data!A48</f>
        <v>STR-1011</v>
      </c>
      <c r="B48" s="6" t="str">
        <f aca="false">Sheet2_Cleaned_Data!B48</f>
        <v>2025-04-01</v>
      </c>
      <c r="C48" s="6" t="str">
        <f aca="false">Sheet2_Cleaned_Data!C48</f>
        <v>East</v>
      </c>
      <c r="D48" s="6" t="str">
        <f aca="false">Sheet2_Cleaned_Data!D48</f>
        <v>Mall</v>
      </c>
      <c r="E48" s="15" t="n">
        <f aca="false">Sheet2_Cleaned_Data!M48</f>
        <v>605178</v>
      </c>
      <c r="F48" s="16" t="n">
        <f aca="false">Sheet5_Multiple_Regression!$J$6+Sheet5_Multiple_Regression!$J$7*Sheet5_Multiple_Regression!A49+Sheet5_Multiple_Regression!$J$8*Sheet5_Multiple_Regression!B49+Sheet5_Multiple_Regression!$J$9*Sheet5_Multiple_Regression!C49+Sheet5_Multiple_Regression!$J$10*Sheet5_Multiple_Regression!D49+Sheet5_Multiple_Regression!$J$11*Sheet5_Multiple_Regression!E49+Sheet5_Multiple_Regression!$J$12*Sheet5_Multiple_Regression!F49+Sheet5_Multiple_Regression!$J$13*Sheet5_Multiple_Regression!G49</f>
        <v>608958.036965202</v>
      </c>
      <c r="G48" s="16" t="n">
        <f aca="false">E48-F48</f>
        <v>-3780.03696520161</v>
      </c>
    </row>
    <row r="49" customFormat="false" ht="15" hidden="false" customHeight="false" outlineLevel="0" collapsed="false">
      <c r="A49" s="6" t="str">
        <f aca="false">Sheet2_Cleaned_Data!A49</f>
        <v>STR-1012</v>
      </c>
      <c r="B49" s="6" t="str">
        <f aca="false">Sheet2_Cleaned_Data!B49</f>
        <v>2025-01-01</v>
      </c>
      <c r="C49" s="6" t="str">
        <f aca="false">Sheet2_Cleaned_Data!C49</f>
        <v>West</v>
      </c>
      <c r="D49" s="6" t="str">
        <f aca="false">Sheet2_Cleaned_Data!D49</f>
        <v>Residential</v>
      </c>
      <c r="E49" s="15" t="n">
        <f aca="false">Sheet2_Cleaned_Data!M49</f>
        <v>595467.6</v>
      </c>
      <c r="F49" s="16" t="n">
        <f aca="false">Sheet5_Multiple_Regression!$J$6+Sheet5_Multiple_Regression!$J$7*Sheet5_Multiple_Regression!A50+Sheet5_Multiple_Regression!$J$8*Sheet5_Multiple_Regression!B50+Sheet5_Multiple_Regression!$J$9*Sheet5_Multiple_Regression!C50+Sheet5_Multiple_Regression!$J$10*Sheet5_Multiple_Regression!D50+Sheet5_Multiple_Regression!$J$11*Sheet5_Multiple_Regression!E50+Sheet5_Multiple_Regression!$J$12*Sheet5_Multiple_Regression!F50+Sheet5_Multiple_Regression!$J$13*Sheet5_Multiple_Regression!G50</f>
        <v>716546.491513569</v>
      </c>
      <c r="G49" s="16" t="n">
        <f aca="false">E49-F49</f>
        <v>-121078.891513569</v>
      </c>
    </row>
    <row r="50" customFormat="false" ht="15" hidden="false" customHeight="false" outlineLevel="0" collapsed="false">
      <c r="A50" s="6" t="str">
        <f aca="false">Sheet2_Cleaned_Data!A50</f>
        <v>STR-1012</v>
      </c>
      <c r="B50" s="6" t="str">
        <f aca="false">Sheet2_Cleaned_Data!B50</f>
        <v>2025-02-01</v>
      </c>
      <c r="C50" s="6" t="str">
        <f aca="false">Sheet2_Cleaned_Data!C50</f>
        <v>West</v>
      </c>
      <c r="D50" s="6" t="str">
        <f aca="false">Sheet2_Cleaned_Data!D50</f>
        <v>Residential</v>
      </c>
      <c r="E50" s="15" t="n">
        <f aca="false">Sheet2_Cleaned_Data!M50</f>
        <v>599603.4</v>
      </c>
      <c r="F50" s="16" t="n">
        <f aca="false">Sheet5_Multiple_Regression!$J$6+Sheet5_Multiple_Regression!$J$7*Sheet5_Multiple_Regression!A51+Sheet5_Multiple_Regression!$J$8*Sheet5_Multiple_Regression!B51+Sheet5_Multiple_Regression!$J$9*Sheet5_Multiple_Regression!C51+Sheet5_Multiple_Regression!$J$10*Sheet5_Multiple_Regression!D51+Sheet5_Multiple_Regression!$J$11*Sheet5_Multiple_Regression!E51+Sheet5_Multiple_Regression!$J$12*Sheet5_Multiple_Regression!F51+Sheet5_Multiple_Regression!$J$13*Sheet5_Multiple_Regression!G51</f>
        <v>626713.112539162</v>
      </c>
      <c r="G50" s="16" t="n">
        <f aca="false">E50-F50</f>
        <v>-27109.7125391624</v>
      </c>
    </row>
    <row r="51" customFormat="false" ht="15" hidden="false" customHeight="false" outlineLevel="0" collapsed="false">
      <c r="A51" s="6" t="str">
        <f aca="false">Sheet2_Cleaned_Data!A51</f>
        <v>STR-1012</v>
      </c>
      <c r="B51" s="6" t="str">
        <f aca="false">Sheet2_Cleaned_Data!B51</f>
        <v>2025-03-01</v>
      </c>
      <c r="C51" s="6" t="str">
        <f aca="false">Sheet2_Cleaned_Data!C51</f>
        <v>West</v>
      </c>
      <c r="D51" s="6" t="str">
        <f aca="false">Sheet2_Cleaned_Data!D51</f>
        <v>Residential</v>
      </c>
      <c r="E51" s="15" t="n">
        <f aca="false">Sheet2_Cleaned_Data!M51</f>
        <v>614800.09</v>
      </c>
      <c r="F51" s="16" t="n">
        <f aca="false">Sheet5_Multiple_Regression!$J$6+Sheet5_Multiple_Regression!$J$7*Sheet5_Multiple_Regression!A52+Sheet5_Multiple_Regression!$J$8*Sheet5_Multiple_Regression!B52+Sheet5_Multiple_Regression!$J$9*Sheet5_Multiple_Regression!C52+Sheet5_Multiple_Regression!$J$10*Sheet5_Multiple_Regression!D52+Sheet5_Multiple_Regression!$J$11*Sheet5_Multiple_Regression!E52+Sheet5_Multiple_Regression!$J$12*Sheet5_Multiple_Regression!F52+Sheet5_Multiple_Regression!$J$13*Sheet5_Multiple_Regression!G52</f>
        <v>572873.354694059</v>
      </c>
      <c r="G51" s="16" t="n">
        <f aca="false">E51-F51</f>
        <v>41926.7353059413</v>
      </c>
    </row>
    <row r="52" customFormat="false" ht="15" hidden="false" customHeight="false" outlineLevel="0" collapsed="false">
      <c r="A52" s="6" t="str">
        <f aca="false">Sheet2_Cleaned_Data!A52</f>
        <v>STR-1012</v>
      </c>
      <c r="B52" s="6" t="str">
        <f aca="false">Sheet2_Cleaned_Data!B52</f>
        <v>2025-04-01</v>
      </c>
      <c r="C52" s="6" t="str">
        <f aca="false">Sheet2_Cleaned_Data!C52</f>
        <v>West</v>
      </c>
      <c r="D52" s="6" t="str">
        <f aca="false">Sheet2_Cleaned_Data!D52</f>
        <v>Residential</v>
      </c>
      <c r="E52" s="15" t="n">
        <f aca="false">Sheet2_Cleaned_Data!M52</f>
        <v>585365.73</v>
      </c>
      <c r="F52" s="16" t="n">
        <f aca="false">Sheet5_Multiple_Regression!$J$6+Sheet5_Multiple_Regression!$J$7*Sheet5_Multiple_Regression!A53+Sheet5_Multiple_Regression!$J$8*Sheet5_Multiple_Regression!B53+Sheet5_Multiple_Regression!$J$9*Sheet5_Multiple_Regression!C53+Sheet5_Multiple_Regression!$J$10*Sheet5_Multiple_Regression!D53+Sheet5_Multiple_Regression!$J$11*Sheet5_Multiple_Regression!E53+Sheet5_Multiple_Regression!$J$12*Sheet5_Multiple_Regression!F53+Sheet5_Multiple_Regression!$J$13*Sheet5_Multiple_Regression!G53</f>
        <v>561519.155214251</v>
      </c>
      <c r="G52" s="16" t="n">
        <f aca="false">E52-F52</f>
        <v>23846.574785749</v>
      </c>
    </row>
    <row r="53" customFormat="false" ht="15" hidden="false" customHeight="false" outlineLevel="0" collapsed="false">
      <c r="A53" s="6" t="str">
        <f aca="false">Sheet2_Cleaned_Data!A53</f>
        <v>STR-1013</v>
      </c>
      <c r="B53" s="6" t="str">
        <f aca="false">Sheet2_Cleaned_Data!B53</f>
        <v>2025-01-01</v>
      </c>
      <c r="C53" s="6" t="str">
        <f aca="false">Sheet2_Cleaned_Data!C53</f>
        <v>North</v>
      </c>
      <c r="D53" s="6" t="str">
        <f aca="false">Sheet2_Cleaned_Data!D53</f>
        <v>Mall</v>
      </c>
      <c r="E53" s="15" t="n">
        <f aca="false">Sheet2_Cleaned_Data!M53</f>
        <v>622811.74</v>
      </c>
      <c r="F53" s="16" t="n">
        <f aca="false">Sheet5_Multiple_Regression!$J$6+Sheet5_Multiple_Regression!$J$7*Sheet5_Multiple_Regression!A54+Sheet5_Multiple_Regression!$J$8*Sheet5_Multiple_Regression!B54+Sheet5_Multiple_Regression!$J$9*Sheet5_Multiple_Regression!C54+Sheet5_Multiple_Regression!$J$10*Sheet5_Multiple_Regression!D54+Sheet5_Multiple_Regression!$J$11*Sheet5_Multiple_Regression!E54+Sheet5_Multiple_Regression!$J$12*Sheet5_Multiple_Regression!F54+Sheet5_Multiple_Regression!$J$13*Sheet5_Multiple_Regression!G54</f>
        <v>660104.208728746</v>
      </c>
      <c r="G53" s="16" t="n">
        <f aca="false">E53-F53</f>
        <v>-37292.4687287456</v>
      </c>
    </row>
    <row r="54" customFormat="false" ht="15" hidden="false" customHeight="false" outlineLevel="0" collapsed="false">
      <c r="A54" s="6" t="str">
        <f aca="false">Sheet2_Cleaned_Data!A54</f>
        <v>STR-1013</v>
      </c>
      <c r="B54" s="6" t="str">
        <f aca="false">Sheet2_Cleaned_Data!B54</f>
        <v>2025-02-01</v>
      </c>
      <c r="C54" s="6" t="str">
        <f aca="false">Sheet2_Cleaned_Data!C54</f>
        <v>North</v>
      </c>
      <c r="D54" s="6" t="str">
        <f aca="false">Sheet2_Cleaned_Data!D54</f>
        <v>Mall</v>
      </c>
      <c r="E54" s="15" t="n">
        <f aca="false">Sheet2_Cleaned_Data!M54</f>
        <v>603297.57</v>
      </c>
      <c r="F54" s="16" t="n">
        <f aca="false">Sheet5_Multiple_Regression!$J$6+Sheet5_Multiple_Regression!$J$7*Sheet5_Multiple_Regression!A55+Sheet5_Multiple_Regression!$J$8*Sheet5_Multiple_Regression!B55+Sheet5_Multiple_Regression!$J$9*Sheet5_Multiple_Regression!C55+Sheet5_Multiple_Regression!$J$10*Sheet5_Multiple_Regression!D55+Sheet5_Multiple_Regression!$J$11*Sheet5_Multiple_Regression!E55+Sheet5_Multiple_Regression!$J$12*Sheet5_Multiple_Regression!F55+Sheet5_Multiple_Regression!$J$13*Sheet5_Multiple_Regression!G55</f>
        <v>593664.688908188</v>
      </c>
      <c r="G54" s="16" t="n">
        <f aca="false">E54-F54</f>
        <v>9632.88109181169</v>
      </c>
    </row>
    <row r="55" customFormat="false" ht="15" hidden="false" customHeight="false" outlineLevel="0" collapsed="false">
      <c r="A55" s="6" t="str">
        <f aca="false">Sheet2_Cleaned_Data!A55</f>
        <v>STR-1013</v>
      </c>
      <c r="B55" s="6" t="str">
        <f aca="false">Sheet2_Cleaned_Data!B55</f>
        <v>2025-03-01</v>
      </c>
      <c r="C55" s="6" t="str">
        <f aca="false">Sheet2_Cleaned_Data!C55</f>
        <v>North</v>
      </c>
      <c r="D55" s="6" t="str">
        <f aca="false">Sheet2_Cleaned_Data!D55</f>
        <v>Mall</v>
      </c>
      <c r="E55" s="15" t="n">
        <f aca="false">Sheet2_Cleaned_Data!M55</f>
        <v>625672.86</v>
      </c>
      <c r="F55" s="16" t="n">
        <f aca="false">Sheet5_Multiple_Regression!$J$6+Sheet5_Multiple_Regression!$J$7*Sheet5_Multiple_Regression!A56+Sheet5_Multiple_Regression!$J$8*Sheet5_Multiple_Regression!B56+Sheet5_Multiple_Regression!$J$9*Sheet5_Multiple_Regression!C56+Sheet5_Multiple_Regression!$J$10*Sheet5_Multiple_Regression!D56+Sheet5_Multiple_Regression!$J$11*Sheet5_Multiple_Regression!E56+Sheet5_Multiple_Regression!$J$12*Sheet5_Multiple_Regression!F56+Sheet5_Multiple_Regression!$J$13*Sheet5_Multiple_Regression!G56</f>
        <v>618822.712584912</v>
      </c>
      <c r="G55" s="16" t="n">
        <f aca="false">E55-F55</f>
        <v>6850.14741508849</v>
      </c>
    </row>
    <row r="56" customFormat="false" ht="15" hidden="false" customHeight="false" outlineLevel="0" collapsed="false">
      <c r="A56" s="6" t="str">
        <f aca="false">Sheet2_Cleaned_Data!A56</f>
        <v>STR-1013</v>
      </c>
      <c r="B56" s="6" t="str">
        <f aca="false">Sheet2_Cleaned_Data!B56</f>
        <v>2025-04-01</v>
      </c>
      <c r="C56" s="6" t="str">
        <f aca="false">Sheet2_Cleaned_Data!C56</f>
        <v>North</v>
      </c>
      <c r="D56" s="6" t="str">
        <f aca="false">Sheet2_Cleaned_Data!D56</f>
        <v>Mall</v>
      </c>
      <c r="E56" s="15" t="n">
        <f aca="false">Sheet2_Cleaned_Data!M56</f>
        <v>773815.14</v>
      </c>
      <c r="F56" s="16" t="n">
        <f aca="false">Sheet5_Multiple_Regression!$J$6+Sheet5_Multiple_Regression!$J$7*Sheet5_Multiple_Regression!A57+Sheet5_Multiple_Regression!$J$8*Sheet5_Multiple_Regression!B57+Sheet5_Multiple_Regression!$J$9*Sheet5_Multiple_Regression!C57+Sheet5_Multiple_Regression!$J$10*Sheet5_Multiple_Regression!D57+Sheet5_Multiple_Regression!$J$11*Sheet5_Multiple_Regression!E57+Sheet5_Multiple_Regression!$J$12*Sheet5_Multiple_Regression!F57+Sheet5_Multiple_Regression!$J$13*Sheet5_Multiple_Regression!G57</f>
        <v>744747.760979093</v>
      </c>
      <c r="G56" s="16" t="n">
        <f aca="false">E56-F56</f>
        <v>29067.3790209071</v>
      </c>
    </row>
    <row r="57" customFormat="false" ht="15" hidden="false" customHeight="false" outlineLevel="0" collapsed="false">
      <c r="A57" s="6" t="str">
        <f aca="false">Sheet2_Cleaned_Data!A57</f>
        <v>STR-1014</v>
      </c>
      <c r="B57" s="6" t="str">
        <f aca="false">Sheet2_Cleaned_Data!B57</f>
        <v>2025-01-01</v>
      </c>
      <c r="C57" s="6" t="str">
        <f aca="false">Sheet2_Cleaned_Data!C57</f>
        <v>West</v>
      </c>
      <c r="D57" s="6" t="str">
        <f aca="false">Sheet2_Cleaned_Data!D57</f>
        <v>High Street</v>
      </c>
      <c r="E57" s="15" t="n">
        <f aca="false">Sheet2_Cleaned_Data!M57</f>
        <v>463534.25</v>
      </c>
      <c r="F57" s="16" t="n">
        <f aca="false">Sheet5_Multiple_Regression!$J$6+Sheet5_Multiple_Regression!$J$7*Sheet5_Multiple_Regression!A58+Sheet5_Multiple_Regression!$J$8*Sheet5_Multiple_Regression!B58+Sheet5_Multiple_Regression!$J$9*Sheet5_Multiple_Regression!C58+Sheet5_Multiple_Regression!$J$10*Sheet5_Multiple_Regression!D58+Sheet5_Multiple_Regression!$J$11*Sheet5_Multiple_Regression!E58+Sheet5_Multiple_Regression!$J$12*Sheet5_Multiple_Regression!F58+Sheet5_Multiple_Regression!$J$13*Sheet5_Multiple_Regression!G58</f>
        <v>556963.06267766</v>
      </c>
      <c r="G57" s="16" t="n">
        <f aca="false">E57-F57</f>
        <v>-93428.8126776603</v>
      </c>
    </row>
    <row r="58" customFormat="false" ht="15" hidden="false" customHeight="false" outlineLevel="0" collapsed="false">
      <c r="A58" s="6" t="str">
        <f aca="false">Sheet2_Cleaned_Data!A58</f>
        <v>STR-1014</v>
      </c>
      <c r="B58" s="6" t="str">
        <f aca="false">Sheet2_Cleaned_Data!B58</f>
        <v>2025-02-01</v>
      </c>
      <c r="C58" s="6" t="str">
        <f aca="false">Sheet2_Cleaned_Data!C58</f>
        <v>West</v>
      </c>
      <c r="D58" s="6" t="str">
        <f aca="false">Sheet2_Cleaned_Data!D58</f>
        <v>High Street</v>
      </c>
      <c r="E58" s="15" t="n">
        <f aca="false">Sheet2_Cleaned_Data!M58</f>
        <v>746677.75</v>
      </c>
      <c r="F58" s="16" t="n">
        <f aca="false">Sheet5_Multiple_Regression!$J$6+Sheet5_Multiple_Regression!$J$7*Sheet5_Multiple_Regression!A59+Sheet5_Multiple_Regression!$J$8*Sheet5_Multiple_Regression!B59+Sheet5_Multiple_Regression!$J$9*Sheet5_Multiple_Regression!C59+Sheet5_Multiple_Regression!$J$10*Sheet5_Multiple_Regression!D59+Sheet5_Multiple_Regression!$J$11*Sheet5_Multiple_Regression!E59+Sheet5_Multiple_Regression!$J$12*Sheet5_Multiple_Regression!F59+Sheet5_Multiple_Regression!$J$13*Sheet5_Multiple_Regression!G59</f>
        <v>702267.259736356</v>
      </c>
      <c r="G58" s="16" t="n">
        <f aca="false">E58-F58</f>
        <v>44410.4902636441</v>
      </c>
    </row>
    <row r="59" customFormat="false" ht="15" hidden="false" customHeight="false" outlineLevel="0" collapsed="false">
      <c r="A59" s="6" t="str">
        <f aca="false">Sheet2_Cleaned_Data!A59</f>
        <v>STR-1014</v>
      </c>
      <c r="B59" s="6" t="str">
        <f aca="false">Sheet2_Cleaned_Data!B59</f>
        <v>2025-03-01</v>
      </c>
      <c r="C59" s="6" t="str">
        <f aca="false">Sheet2_Cleaned_Data!C59</f>
        <v>West</v>
      </c>
      <c r="D59" s="6" t="str">
        <f aca="false">Sheet2_Cleaned_Data!D59</f>
        <v>High Street</v>
      </c>
      <c r="E59" s="15" t="n">
        <f aca="false">Sheet2_Cleaned_Data!M59</f>
        <v>720852.5</v>
      </c>
      <c r="F59" s="16" t="n">
        <f aca="false">Sheet5_Multiple_Regression!$J$6+Sheet5_Multiple_Regression!$J$7*Sheet5_Multiple_Regression!A60+Sheet5_Multiple_Regression!$J$8*Sheet5_Multiple_Regression!B60+Sheet5_Multiple_Regression!$J$9*Sheet5_Multiple_Regression!C60+Sheet5_Multiple_Regression!$J$10*Sheet5_Multiple_Regression!D60+Sheet5_Multiple_Regression!$J$11*Sheet5_Multiple_Regression!E60+Sheet5_Multiple_Regression!$J$12*Sheet5_Multiple_Regression!F60+Sheet5_Multiple_Regression!$J$13*Sheet5_Multiple_Regression!G60</f>
        <v>675098.90293462</v>
      </c>
      <c r="G59" s="16" t="n">
        <f aca="false">E59-F59</f>
        <v>45753.5970653801</v>
      </c>
    </row>
    <row r="60" customFormat="false" ht="15" hidden="false" customHeight="false" outlineLevel="0" collapsed="false">
      <c r="A60" s="6" t="str">
        <f aca="false">Sheet2_Cleaned_Data!A60</f>
        <v>STR-1014</v>
      </c>
      <c r="B60" s="6" t="str">
        <f aca="false">Sheet2_Cleaned_Data!B60</f>
        <v>2025-04-01</v>
      </c>
      <c r="C60" s="6" t="str">
        <f aca="false">Sheet2_Cleaned_Data!C60</f>
        <v>West</v>
      </c>
      <c r="D60" s="6" t="str">
        <f aca="false">Sheet2_Cleaned_Data!D60</f>
        <v>High Street</v>
      </c>
      <c r="E60" s="15" t="n">
        <f aca="false">Sheet2_Cleaned_Data!M60</f>
        <v>487464.91</v>
      </c>
      <c r="F60" s="16" t="n">
        <f aca="false">Sheet5_Multiple_Regression!$J$6+Sheet5_Multiple_Regression!$J$7*Sheet5_Multiple_Regression!A61+Sheet5_Multiple_Regression!$J$8*Sheet5_Multiple_Regression!B61+Sheet5_Multiple_Regression!$J$9*Sheet5_Multiple_Regression!C61+Sheet5_Multiple_Regression!$J$10*Sheet5_Multiple_Regression!D61+Sheet5_Multiple_Regression!$J$11*Sheet5_Multiple_Regression!E61+Sheet5_Multiple_Regression!$J$12*Sheet5_Multiple_Regression!F61+Sheet5_Multiple_Regression!$J$13*Sheet5_Multiple_Regression!G61</f>
        <v>528998.677136079</v>
      </c>
      <c r="G60" s="16" t="n">
        <f aca="false">E60-F60</f>
        <v>-41533.7671360794</v>
      </c>
    </row>
    <row r="61" customFormat="false" ht="15" hidden="false" customHeight="false" outlineLevel="0" collapsed="false">
      <c r="A61" s="6" t="str">
        <f aca="false">Sheet2_Cleaned_Data!A61</f>
        <v>STR-1015</v>
      </c>
      <c r="B61" s="6" t="str">
        <f aca="false">Sheet2_Cleaned_Data!B61</f>
        <v>2025-01-01</v>
      </c>
      <c r="C61" s="6" t="str">
        <f aca="false">Sheet2_Cleaned_Data!C61</f>
        <v>East</v>
      </c>
      <c r="D61" s="6" t="str">
        <f aca="false">Sheet2_Cleaned_Data!D61</f>
        <v>Airport</v>
      </c>
      <c r="E61" s="15" t="n">
        <f aca="false">Sheet2_Cleaned_Data!M61</f>
        <v>518049.26</v>
      </c>
      <c r="F61" s="16" t="n">
        <f aca="false">Sheet5_Multiple_Regression!$J$6+Sheet5_Multiple_Regression!$J$7*Sheet5_Multiple_Regression!A62+Sheet5_Multiple_Regression!$J$8*Sheet5_Multiple_Regression!B62+Sheet5_Multiple_Regression!$J$9*Sheet5_Multiple_Regression!C62+Sheet5_Multiple_Regression!$J$10*Sheet5_Multiple_Regression!D62+Sheet5_Multiple_Regression!$J$11*Sheet5_Multiple_Regression!E62+Sheet5_Multiple_Regression!$J$12*Sheet5_Multiple_Regression!F62+Sheet5_Multiple_Regression!$J$13*Sheet5_Multiple_Regression!G62</f>
        <v>545956.509987997</v>
      </c>
      <c r="G61" s="16" t="n">
        <f aca="false">E61-F61</f>
        <v>-27907.2499879969</v>
      </c>
    </row>
    <row r="62" customFormat="false" ht="15" hidden="false" customHeight="false" outlineLevel="0" collapsed="false">
      <c r="A62" s="6" t="str">
        <f aca="false">Sheet2_Cleaned_Data!A62</f>
        <v>STR-1015</v>
      </c>
      <c r="B62" s="6" t="str">
        <f aca="false">Sheet2_Cleaned_Data!B62</f>
        <v>2025-02-01</v>
      </c>
      <c r="C62" s="6" t="str">
        <f aca="false">Sheet2_Cleaned_Data!C62</f>
        <v>East</v>
      </c>
      <c r="D62" s="6" t="str">
        <f aca="false">Sheet2_Cleaned_Data!D62</f>
        <v>Airport</v>
      </c>
      <c r="E62" s="15" t="n">
        <f aca="false">Sheet2_Cleaned_Data!M62</f>
        <v>500298.48</v>
      </c>
      <c r="F62" s="16" t="n">
        <f aca="false">Sheet5_Multiple_Regression!$J$6+Sheet5_Multiple_Regression!$J$7*Sheet5_Multiple_Regression!A63+Sheet5_Multiple_Regression!$J$8*Sheet5_Multiple_Regression!B63+Sheet5_Multiple_Regression!$J$9*Sheet5_Multiple_Regression!C63+Sheet5_Multiple_Regression!$J$10*Sheet5_Multiple_Regression!D63+Sheet5_Multiple_Regression!$J$11*Sheet5_Multiple_Regression!E63+Sheet5_Multiple_Regression!$J$12*Sheet5_Multiple_Regression!F63+Sheet5_Multiple_Regression!$J$13*Sheet5_Multiple_Regression!G63</f>
        <v>538515.202462924</v>
      </c>
      <c r="G62" s="16" t="n">
        <f aca="false">E62-F62</f>
        <v>-38216.7224629242</v>
      </c>
    </row>
    <row r="63" customFormat="false" ht="15" hidden="false" customHeight="false" outlineLevel="0" collapsed="false">
      <c r="A63" s="6" t="str">
        <f aca="false">Sheet2_Cleaned_Data!A63</f>
        <v>STR-1015</v>
      </c>
      <c r="B63" s="6" t="str">
        <f aca="false">Sheet2_Cleaned_Data!B63</f>
        <v>2025-03-01</v>
      </c>
      <c r="C63" s="6" t="str">
        <f aca="false">Sheet2_Cleaned_Data!C63</f>
        <v>East</v>
      </c>
      <c r="D63" s="6" t="str">
        <f aca="false">Sheet2_Cleaned_Data!D63</f>
        <v>Airport</v>
      </c>
      <c r="E63" s="15" t="n">
        <f aca="false">Sheet2_Cleaned_Data!M63</f>
        <v>617291.15</v>
      </c>
      <c r="F63" s="16" t="n">
        <f aca="false">Sheet5_Multiple_Regression!$J$6+Sheet5_Multiple_Regression!$J$7*Sheet5_Multiple_Regression!A64+Sheet5_Multiple_Regression!$J$8*Sheet5_Multiple_Regression!B64+Sheet5_Multiple_Regression!$J$9*Sheet5_Multiple_Regression!C64+Sheet5_Multiple_Regression!$J$10*Sheet5_Multiple_Regression!D64+Sheet5_Multiple_Regression!$J$11*Sheet5_Multiple_Regression!E64+Sheet5_Multiple_Regression!$J$12*Sheet5_Multiple_Regression!F64+Sheet5_Multiple_Regression!$J$13*Sheet5_Multiple_Regression!G64</f>
        <v>686138.918020781</v>
      </c>
      <c r="G63" s="16" t="n">
        <f aca="false">E63-F63</f>
        <v>-68847.7680207805</v>
      </c>
    </row>
    <row r="64" customFormat="false" ht="15" hidden="false" customHeight="false" outlineLevel="0" collapsed="false">
      <c r="A64" s="6" t="str">
        <f aca="false">Sheet2_Cleaned_Data!A64</f>
        <v>STR-1015</v>
      </c>
      <c r="B64" s="6" t="str">
        <f aca="false">Sheet2_Cleaned_Data!B64</f>
        <v>2025-04-01</v>
      </c>
      <c r="C64" s="6" t="str">
        <f aca="false">Sheet2_Cleaned_Data!C64</f>
        <v>East</v>
      </c>
      <c r="D64" s="6" t="str">
        <f aca="false">Sheet2_Cleaned_Data!D64</f>
        <v>Airport</v>
      </c>
      <c r="E64" s="15" t="n">
        <f aca="false">Sheet2_Cleaned_Data!M64</f>
        <v>553756.43</v>
      </c>
      <c r="F64" s="16" t="n">
        <f aca="false">Sheet5_Multiple_Regression!$J$6+Sheet5_Multiple_Regression!$J$7*Sheet5_Multiple_Regression!A65+Sheet5_Multiple_Regression!$J$8*Sheet5_Multiple_Regression!B65+Sheet5_Multiple_Regression!$J$9*Sheet5_Multiple_Regression!C65+Sheet5_Multiple_Regression!$J$10*Sheet5_Multiple_Regression!D65+Sheet5_Multiple_Regression!$J$11*Sheet5_Multiple_Regression!E65+Sheet5_Multiple_Regression!$J$12*Sheet5_Multiple_Regression!F65+Sheet5_Multiple_Regression!$J$13*Sheet5_Multiple_Regression!G65</f>
        <v>628369.009079129</v>
      </c>
      <c r="G64" s="16" t="n">
        <f aca="false">E64-F64</f>
        <v>-74612.5790791294</v>
      </c>
    </row>
    <row r="65" customFormat="false" ht="15" hidden="false" customHeight="false" outlineLevel="0" collapsed="false">
      <c r="A65" s="6" t="str">
        <f aca="false">Sheet2_Cleaned_Data!A65</f>
        <v>STR-1016</v>
      </c>
      <c r="B65" s="6" t="str">
        <f aca="false">Sheet2_Cleaned_Data!B65</f>
        <v>2025-01-01</v>
      </c>
      <c r="C65" s="6" t="str">
        <f aca="false">Sheet2_Cleaned_Data!C65</f>
        <v>South</v>
      </c>
      <c r="D65" s="6" t="str">
        <f aca="false">Sheet2_Cleaned_Data!D65</f>
        <v>High Street</v>
      </c>
      <c r="E65" s="15" t="n">
        <f aca="false">Sheet2_Cleaned_Data!M65</f>
        <v>749559.71</v>
      </c>
      <c r="F65" s="16" t="n">
        <f aca="false">Sheet5_Multiple_Regression!$J$6+Sheet5_Multiple_Regression!$J$7*Sheet5_Multiple_Regression!A66+Sheet5_Multiple_Regression!$J$8*Sheet5_Multiple_Regression!B66+Sheet5_Multiple_Regression!$J$9*Sheet5_Multiple_Regression!C66+Sheet5_Multiple_Regression!$J$10*Sheet5_Multiple_Regression!D66+Sheet5_Multiple_Regression!$J$11*Sheet5_Multiple_Regression!E66+Sheet5_Multiple_Regression!$J$12*Sheet5_Multiple_Regression!F66+Sheet5_Multiple_Regression!$J$13*Sheet5_Multiple_Regression!G66</f>
        <v>686102.920614475</v>
      </c>
      <c r="G65" s="16" t="n">
        <f aca="false">E65-F65</f>
        <v>63456.7893855246</v>
      </c>
    </row>
    <row r="66" customFormat="false" ht="15" hidden="false" customHeight="false" outlineLevel="0" collapsed="false">
      <c r="A66" s="6" t="str">
        <f aca="false">Sheet2_Cleaned_Data!A66</f>
        <v>STR-1016</v>
      </c>
      <c r="B66" s="6" t="str">
        <f aca="false">Sheet2_Cleaned_Data!B66</f>
        <v>2025-02-01</v>
      </c>
      <c r="C66" s="6" t="str">
        <f aca="false">Sheet2_Cleaned_Data!C66</f>
        <v>South</v>
      </c>
      <c r="D66" s="6" t="str">
        <f aca="false">Sheet2_Cleaned_Data!D66</f>
        <v>High Street</v>
      </c>
      <c r="E66" s="15" t="n">
        <f aca="false">Sheet2_Cleaned_Data!M66</f>
        <v>615966.48</v>
      </c>
      <c r="F66" s="16" t="n">
        <f aca="false">Sheet5_Multiple_Regression!$J$6+Sheet5_Multiple_Regression!$J$7*Sheet5_Multiple_Regression!A67+Sheet5_Multiple_Regression!$J$8*Sheet5_Multiple_Regression!B67+Sheet5_Multiple_Regression!$J$9*Sheet5_Multiple_Regression!C67+Sheet5_Multiple_Regression!$J$10*Sheet5_Multiple_Regression!D67+Sheet5_Multiple_Regression!$J$11*Sheet5_Multiple_Regression!E67+Sheet5_Multiple_Regression!$J$12*Sheet5_Multiple_Regression!F67+Sheet5_Multiple_Regression!$J$13*Sheet5_Multiple_Regression!G67</f>
        <v>567845.726293696</v>
      </c>
      <c r="G66" s="16" t="n">
        <f aca="false">E66-F66</f>
        <v>48120.7537063037</v>
      </c>
    </row>
    <row r="67" customFormat="false" ht="15" hidden="false" customHeight="false" outlineLevel="0" collapsed="false">
      <c r="A67" s="6" t="str">
        <f aca="false">Sheet2_Cleaned_Data!A67</f>
        <v>STR-1016</v>
      </c>
      <c r="B67" s="6" t="str">
        <f aca="false">Sheet2_Cleaned_Data!B67</f>
        <v>2025-03-01</v>
      </c>
      <c r="C67" s="6" t="str">
        <f aca="false">Sheet2_Cleaned_Data!C67</f>
        <v>South</v>
      </c>
      <c r="D67" s="6" t="str">
        <f aca="false">Sheet2_Cleaned_Data!D67</f>
        <v>High Street</v>
      </c>
      <c r="E67" s="15" t="n">
        <f aca="false">Sheet2_Cleaned_Data!M67</f>
        <v>572011.2</v>
      </c>
      <c r="F67" s="16" t="n">
        <f aca="false">Sheet5_Multiple_Regression!$J$6+Sheet5_Multiple_Regression!$J$7*Sheet5_Multiple_Regression!A68+Sheet5_Multiple_Regression!$J$8*Sheet5_Multiple_Regression!B68+Sheet5_Multiple_Regression!$J$9*Sheet5_Multiple_Regression!C68+Sheet5_Multiple_Regression!$J$10*Sheet5_Multiple_Regression!D68+Sheet5_Multiple_Regression!$J$11*Sheet5_Multiple_Regression!E68+Sheet5_Multiple_Regression!$J$12*Sheet5_Multiple_Regression!F68+Sheet5_Multiple_Regression!$J$13*Sheet5_Multiple_Regression!G68</f>
        <v>584575.924216914</v>
      </c>
      <c r="G67" s="16" t="n">
        <f aca="false">E67-F67</f>
        <v>-12564.7242169143</v>
      </c>
    </row>
    <row r="68" customFormat="false" ht="15" hidden="false" customHeight="false" outlineLevel="0" collapsed="false">
      <c r="A68" s="6" t="str">
        <f aca="false">Sheet2_Cleaned_Data!A68</f>
        <v>STR-1016</v>
      </c>
      <c r="B68" s="6" t="str">
        <f aca="false">Sheet2_Cleaned_Data!B68</f>
        <v>2025-04-01</v>
      </c>
      <c r="C68" s="6" t="str">
        <f aca="false">Sheet2_Cleaned_Data!C68</f>
        <v>South</v>
      </c>
      <c r="D68" s="6" t="str">
        <f aca="false">Sheet2_Cleaned_Data!D68</f>
        <v>High Street</v>
      </c>
      <c r="E68" s="15" t="n">
        <f aca="false">Sheet2_Cleaned_Data!M68</f>
        <v>761860.19</v>
      </c>
      <c r="F68" s="16" t="n">
        <f aca="false">Sheet5_Multiple_Regression!$J$6+Sheet5_Multiple_Regression!$J$7*Sheet5_Multiple_Regression!A69+Sheet5_Multiple_Regression!$J$8*Sheet5_Multiple_Regression!B69+Sheet5_Multiple_Regression!$J$9*Sheet5_Multiple_Regression!C69+Sheet5_Multiple_Regression!$J$10*Sheet5_Multiple_Regression!D69+Sheet5_Multiple_Regression!$J$11*Sheet5_Multiple_Regression!E69+Sheet5_Multiple_Regression!$J$12*Sheet5_Multiple_Regression!F69+Sheet5_Multiple_Regression!$J$13*Sheet5_Multiple_Regression!G69</f>
        <v>717358.118313683</v>
      </c>
      <c r="G68" s="16" t="n">
        <f aca="false">E68-F68</f>
        <v>44502.0716863173</v>
      </c>
    </row>
    <row r="69" customFormat="false" ht="15" hidden="false" customHeight="false" outlineLevel="0" collapsed="false">
      <c r="A69" s="6" t="str">
        <f aca="false">Sheet2_Cleaned_Data!A69</f>
        <v>STR-1017</v>
      </c>
      <c r="B69" s="6" t="str">
        <f aca="false">Sheet2_Cleaned_Data!B69</f>
        <v>2025-01-01</v>
      </c>
      <c r="C69" s="6" t="str">
        <f aca="false">Sheet2_Cleaned_Data!C69</f>
        <v>West</v>
      </c>
      <c r="D69" s="6" t="str">
        <f aca="false">Sheet2_Cleaned_Data!D69</f>
        <v>High Street</v>
      </c>
      <c r="E69" s="15" t="n">
        <f aca="false">Sheet2_Cleaned_Data!M69</f>
        <v>784502.68</v>
      </c>
      <c r="F69" s="16" t="n">
        <f aca="false">Sheet5_Multiple_Regression!$J$6+Sheet5_Multiple_Regression!$J$7*Sheet5_Multiple_Regression!A70+Sheet5_Multiple_Regression!$J$8*Sheet5_Multiple_Regression!B70+Sheet5_Multiple_Regression!$J$9*Sheet5_Multiple_Regression!C70+Sheet5_Multiple_Regression!$J$10*Sheet5_Multiple_Regression!D70+Sheet5_Multiple_Regression!$J$11*Sheet5_Multiple_Regression!E70+Sheet5_Multiple_Regression!$J$12*Sheet5_Multiple_Regression!F70+Sheet5_Multiple_Regression!$J$13*Sheet5_Multiple_Regression!G70</f>
        <v>806525.234343602</v>
      </c>
      <c r="G69" s="16" t="n">
        <f aca="false">E69-F69</f>
        <v>-22022.5543436022</v>
      </c>
    </row>
    <row r="70" customFormat="false" ht="15" hidden="false" customHeight="false" outlineLevel="0" collapsed="false">
      <c r="A70" s="6" t="str">
        <f aca="false">Sheet2_Cleaned_Data!A70</f>
        <v>STR-1017</v>
      </c>
      <c r="B70" s="6" t="str">
        <f aca="false">Sheet2_Cleaned_Data!B70</f>
        <v>2025-02-01</v>
      </c>
      <c r="C70" s="6" t="str">
        <f aca="false">Sheet2_Cleaned_Data!C70</f>
        <v>West</v>
      </c>
      <c r="D70" s="6" t="str">
        <f aca="false">Sheet2_Cleaned_Data!D70</f>
        <v>High Street</v>
      </c>
      <c r="E70" s="15" t="n">
        <f aca="false">Sheet2_Cleaned_Data!M70</f>
        <v>717141.55</v>
      </c>
      <c r="F70" s="16" t="n">
        <f aca="false">Sheet5_Multiple_Regression!$J$6+Sheet5_Multiple_Regression!$J$7*Sheet5_Multiple_Regression!A71+Sheet5_Multiple_Regression!$J$8*Sheet5_Multiple_Regression!B71+Sheet5_Multiple_Regression!$J$9*Sheet5_Multiple_Regression!C71+Sheet5_Multiple_Regression!$J$10*Sheet5_Multiple_Regression!D71+Sheet5_Multiple_Regression!$J$11*Sheet5_Multiple_Regression!E71+Sheet5_Multiple_Regression!$J$12*Sheet5_Multiple_Regression!F71+Sheet5_Multiple_Regression!$J$13*Sheet5_Multiple_Regression!G71</f>
        <v>734642.372737288</v>
      </c>
      <c r="G70" s="16" t="n">
        <f aca="false">E70-F70</f>
        <v>-17500.8227372883</v>
      </c>
    </row>
    <row r="71" customFormat="false" ht="15" hidden="false" customHeight="false" outlineLevel="0" collapsed="false">
      <c r="A71" s="6" t="str">
        <f aca="false">Sheet2_Cleaned_Data!A71</f>
        <v>STR-1017</v>
      </c>
      <c r="B71" s="6" t="str">
        <f aca="false">Sheet2_Cleaned_Data!B71</f>
        <v>2025-03-01</v>
      </c>
      <c r="C71" s="6" t="str">
        <f aca="false">Sheet2_Cleaned_Data!C71</f>
        <v>West</v>
      </c>
      <c r="D71" s="6" t="str">
        <f aca="false">Sheet2_Cleaned_Data!D71</f>
        <v>High Street</v>
      </c>
      <c r="E71" s="15" t="n">
        <f aca="false">Sheet2_Cleaned_Data!M71</f>
        <v>685379.08</v>
      </c>
      <c r="F71" s="16" t="n">
        <f aca="false">Sheet5_Multiple_Regression!$J$6+Sheet5_Multiple_Regression!$J$7*Sheet5_Multiple_Regression!A72+Sheet5_Multiple_Regression!$J$8*Sheet5_Multiple_Regression!B72+Sheet5_Multiple_Regression!$J$9*Sheet5_Multiple_Regression!C72+Sheet5_Multiple_Regression!$J$10*Sheet5_Multiple_Regression!D72+Sheet5_Multiple_Regression!$J$11*Sheet5_Multiple_Regression!E72+Sheet5_Multiple_Regression!$J$12*Sheet5_Multiple_Regression!F72+Sheet5_Multiple_Regression!$J$13*Sheet5_Multiple_Regression!G72</f>
        <v>844620.309586429</v>
      </c>
      <c r="G71" s="16" t="n">
        <f aca="false">E71-F71</f>
        <v>-159241.229586429</v>
      </c>
    </row>
    <row r="72" customFormat="false" ht="15" hidden="false" customHeight="false" outlineLevel="0" collapsed="false">
      <c r="A72" s="6" t="str">
        <f aca="false">Sheet2_Cleaned_Data!A72</f>
        <v>STR-1017</v>
      </c>
      <c r="B72" s="6" t="str">
        <f aca="false">Sheet2_Cleaned_Data!B72</f>
        <v>2025-04-01</v>
      </c>
      <c r="C72" s="6" t="str">
        <f aca="false">Sheet2_Cleaned_Data!C72</f>
        <v>West</v>
      </c>
      <c r="D72" s="6" t="str">
        <f aca="false">Sheet2_Cleaned_Data!D72</f>
        <v>High Street</v>
      </c>
      <c r="E72" s="15" t="n">
        <f aca="false">Sheet2_Cleaned_Data!M72</f>
        <v>740496.65</v>
      </c>
      <c r="F72" s="16" t="n">
        <f aca="false">Sheet5_Multiple_Regression!$J$6+Sheet5_Multiple_Regression!$J$7*Sheet5_Multiple_Regression!A73+Sheet5_Multiple_Regression!$J$8*Sheet5_Multiple_Regression!B73+Sheet5_Multiple_Regression!$J$9*Sheet5_Multiple_Regression!C73+Sheet5_Multiple_Regression!$J$10*Sheet5_Multiple_Regression!D73+Sheet5_Multiple_Regression!$J$11*Sheet5_Multiple_Regression!E73+Sheet5_Multiple_Regression!$J$12*Sheet5_Multiple_Regression!F73+Sheet5_Multiple_Regression!$J$13*Sheet5_Multiple_Regression!G73</f>
        <v>733899.571949475</v>
      </c>
      <c r="G72" s="16" t="n">
        <f aca="false">E72-F72</f>
        <v>6597.07805052458</v>
      </c>
    </row>
    <row r="73" customFormat="false" ht="15" hidden="false" customHeight="false" outlineLevel="0" collapsed="false">
      <c r="A73" s="6" t="str">
        <f aca="false">Sheet2_Cleaned_Data!A73</f>
        <v>STR-1018</v>
      </c>
      <c r="B73" s="6" t="str">
        <f aca="false">Sheet2_Cleaned_Data!B73</f>
        <v>2025-01-01</v>
      </c>
      <c r="C73" s="6" t="str">
        <f aca="false">Sheet2_Cleaned_Data!C73</f>
        <v>East</v>
      </c>
      <c r="D73" s="6" t="str">
        <f aca="false">Sheet2_Cleaned_Data!D73</f>
        <v>High Street</v>
      </c>
      <c r="E73" s="15" t="n">
        <f aca="false">Sheet2_Cleaned_Data!M73</f>
        <v>661927.14</v>
      </c>
      <c r="F73" s="16" t="n">
        <f aca="false">Sheet5_Multiple_Regression!$J$6+Sheet5_Multiple_Regression!$J$7*Sheet5_Multiple_Regression!A74+Sheet5_Multiple_Regression!$J$8*Sheet5_Multiple_Regression!B74+Sheet5_Multiple_Regression!$J$9*Sheet5_Multiple_Regression!C74+Sheet5_Multiple_Regression!$J$10*Sheet5_Multiple_Regression!D74+Sheet5_Multiple_Regression!$J$11*Sheet5_Multiple_Regression!E74+Sheet5_Multiple_Regression!$J$12*Sheet5_Multiple_Regression!F74+Sheet5_Multiple_Regression!$J$13*Sheet5_Multiple_Regression!G74</f>
        <v>599112.499294589</v>
      </c>
      <c r="G73" s="16" t="n">
        <f aca="false">E73-F73</f>
        <v>62814.6407054112</v>
      </c>
    </row>
    <row r="74" customFormat="false" ht="15" hidden="false" customHeight="false" outlineLevel="0" collapsed="false">
      <c r="A74" s="6" t="str">
        <f aca="false">Sheet2_Cleaned_Data!A74</f>
        <v>STR-1018</v>
      </c>
      <c r="B74" s="6" t="str">
        <f aca="false">Sheet2_Cleaned_Data!B74</f>
        <v>2025-02-01</v>
      </c>
      <c r="C74" s="6" t="str">
        <f aca="false">Sheet2_Cleaned_Data!C74</f>
        <v>East</v>
      </c>
      <c r="D74" s="6" t="str">
        <f aca="false">Sheet2_Cleaned_Data!D74</f>
        <v>High Street</v>
      </c>
      <c r="E74" s="15" t="n">
        <f aca="false">Sheet2_Cleaned_Data!M74</f>
        <v>479050.5</v>
      </c>
      <c r="F74" s="16" t="n">
        <f aca="false">Sheet5_Multiple_Regression!$J$6+Sheet5_Multiple_Regression!$J$7*Sheet5_Multiple_Regression!A75+Sheet5_Multiple_Regression!$J$8*Sheet5_Multiple_Regression!B75+Sheet5_Multiple_Regression!$J$9*Sheet5_Multiple_Regression!C75+Sheet5_Multiple_Regression!$J$10*Sheet5_Multiple_Regression!D75+Sheet5_Multiple_Regression!$J$11*Sheet5_Multiple_Regression!E75+Sheet5_Multiple_Regression!$J$12*Sheet5_Multiple_Regression!F75+Sheet5_Multiple_Regression!$J$13*Sheet5_Multiple_Regression!G75</f>
        <v>509468.321087432</v>
      </c>
      <c r="G74" s="16" t="n">
        <f aca="false">E74-F74</f>
        <v>-30417.8210874323</v>
      </c>
    </row>
    <row r="75" customFormat="false" ht="15" hidden="false" customHeight="false" outlineLevel="0" collapsed="false">
      <c r="A75" s="6" t="str">
        <f aca="false">Sheet2_Cleaned_Data!A75</f>
        <v>STR-1018</v>
      </c>
      <c r="B75" s="6" t="str">
        <f aca="false">Sheet2_Cleaned_Data!B75</f>
        <v>2025-03-01</v>
      </c>
      <c r="C75" s="6" t="str">
        <f aca="false">Sheet2_Cleaned_Data!C75</f>
        <v>East</v>
      </c>
      <c r="D75" s="6" t="str">
        <f aca="false">Sheet2_Cleaned_Data!D75</f>
        <v>High Street</v>
      </c>
      <c r="E75" s="15" t="n">
        <f aca="false">Sheet2_Cleaned_Data!M75</f>
        <v>605023.87</v>
      </c>
      <c r="F75" s="16" t="n">
        <f aca="false">Sheet5_Multiple_Regression!$J$6+Sheet5_Multiple_Regression!$J$7*Sheet5_Multiple_Regression!A76+Sheet5_Multiple_Regression!$J$8*Sheet5_Multiple_Regression!B76+Sheet5_Multiple_Regression!$J$9*Sheet5_Multiple_Regression!C76+Sheet5_Multiple_Regression!$J$10*Sheet5_Multiple_Regression!D76+Sheet5_Multiple_Regression!$J$11*Sheet5_Multiple_Regression!E76+Sheet5_Multiple_Regression!$J$12*Sheet5_Multiple_Regression!F76+Sheet5_Multiple_Regression!$J$13*Sheet5_Multiple_Regression!G76</f>
        <v>600511.096147266</v>
      </c>
      <c r="G75" s="16" t="n">
        <f aca="false">E75-F75</f>
        <v>4512.77385273448</v>
      </c>
    </row>
    <row r="76" customFormat="false" ht="15" hidden="false" customHeight="false" outlineLevel="0" collapsed="false">
      <c r="A76" s="6" t="str">
        <f aca="false">Sheet2_Cleaned_Data!A76</f>
        <v>STR-1018</v>
      </c>
      <c r="B76" s="6" t="str">
        <f aca="false">Sheet2_Cleaned_Data!B76</f>
        <v>2025-04-01</v>
      </c>
      <c r="C76" s="6" t="str">
        <f aca="false">Sheet2_Cleaned_Data!C76</f>
        <v>East</v>
      </c>
      <c r="D76" s="6" t="str">
        <f aca="false">Sheet2_Cleaned_Data!D76</f>
        <v>High Street</v>
      </c>
      <c r="E76" s="15" t="n">
        <f aca="false">Sheet2_Cleaned_Data!M76</f>
        <v>674774.09</v>
      </c>
      <c r="F76" s="16" t="n">
        <f aca="false">Sheet5_Multiple_Regression!$J$6+Sheet5_Multiple_Regression!$J$7*Sheet5_Multiple_Regression!A77+Sheet5_Multiple_Regression!$J$8*Sheet5_Multiple_Regression!B77+Sheet5_Multiple_Regression!$J$9*Sheet5_Multiple_Regression!C77+Sheet5_Multiple_Regression!$J$10*Sheet5_Multiple_Regression!D77+Sheet5_Multiple_Regression!$J$11*Sheet5_Multiple_Regression!E77+Sheet5_Multiple_Regression!$J$12*Sheet5_Multiple_Regression!F77+Sheet5_Multiple_Regression!$J$13*Sheet5_Multiple_Regression!G77</f>
        <v>647743.684094503</v>
      </c>
      <c r="G76" s="16" t="n">
        <f aca="false">E76-F76</f>
        <v>27030.4059054969</v>
      </c>
    </row>
    <row r="77" customFormat="false" ht="15" hidden="false" customHeight="false" outlineLevel="0" collapsed="false">
      <c r="A77" s="6" t="str">
        <f aca="false">Sheet2_Cleaned_Data!A77</f>
        <v>STR-1019</v>
      </c>
      <c r="B77" s="6" t="str">
        <f aca="false">Sheet2_Cleaned_Data!B77</f>
        <v>2025-01-01</v>
      </c>
      <c r="C77" s="6" t="str">
        <f aca="false">Sheet2_Cleaned_Data!C77</f>
        <v>East</v>
      </c>
      <c r="D77" s="6" t="str">
        <f aca="false">Sheet2_Cleaned_Data!D77</f>
        <v>Residential</v>
      </c>
      <c r="E77" s="15" t="n">
        <f aca="false">Sheet2_Cleaned_Data!M77</f>
        <v>616069.41</v>
      </c>
      <c r="F77" s="16" t="n">
        <f aca="false">Sheet5_Multiple_Regression!$J$6+Sheet5_Multiple_Regression!$J$7*Sheet5_Multiple_Regression!A78+Sheet5_Multiple_Regression!$J$8*Sheet5_Multiple_Regression!B78+Sheet5_Multiple_Regression!$J$9*Sheet5_Multiple_Regression!C78+Sheet5_Multiple_Regression!$J$10*Sheet5_Multiple_Regression!D78+Sheet5_Multiple_Regression!$J$11*Sheet5_Multiple_Regression!E78+Sheet5_Multiple_Regression!$J$12*Sheet5_Multiple_Regression!F78+Sheet5_Multiple_Regression!$J$13*Sheet5_Multiple_Regression!G78</f>
        <v>593584.381162188</v>
      </c>
      <c r="G77" s="16" t="n">
        <f aca="false">E77-F77</f>
        <v>22485.0288378118</v>
      </c>
    </row>
    <row r="78" customFormat="false" ht="15" hidden="false" customHeight="false" outlineLevel="0" collapsed="false">
      <c r="A78" s="6" t="str">
        <f aca="false">Sheet2_Cleaned_Data!A78</f>
        <v>STR-1019</v>
      </c>
      <c r="B78" s="6" t="str">
        <f aca="false">Sheet2_Cleaned_Data!B78</f>
        <v>2025-02-01</v>
      </c>
      <c r="C78" s="6" t="str">
        <f aca="false">Sheet2_Cleaned_Data!C78</f>
        <v>East</v>
      </c>
      <c r="D78" s="6" t="str">
        <f aca="false">Sheet2_Cleaned_Data!D78</f>
        <v>Residential</v>
      </c>
      <c r="E78" s="15" t="n">
        <f aca="false">Sheet2_Cleaned_Data!M78</f>
        <v>630829.94</v>
      </c>
      <c r="F78" s="16" t="n">
        <f aca="false">Sheet5_Multiple_Regression!$J$6+Sheet5_Multiple_Regression!$J$7*Sheet5_Multiple_Regression!A79+Sheet5_Multiple_Regression!$J$8*Sheet5_Multiple_Regression!B79+Sheet5_Multiple_Regression!$J$9*Sheet5_Multiple_Regression!C79+Sheet5_Multiple_Regression!$J$10*Sheet5_Multiple_Regression!D79+Sheet5_Multiple_Regression!$J$11*Sheet5_Multiple_Regression!E79+Sheet5_Multiple_Regression!$J$12*Sheet5_Multiple_Regression!F79+Sheet5_Multiple_Regression!$J$13*Sheet5_Multiple_Regression!G79</f>
        <v>692647.349478798</v>
      </c>
      <c r="G78" s="16" t="n">
        <f aca="false">E78-F78</f>
        <v>-61817.4094787983</v>
      </c>
    </row>
    <row r="79" customFormat="false" ht="15" hidden="false" customHeight="false" outlineLevel="0" collapsed="false">
      <c r="A79" s="6" t="str">
        <f aca="false">Sheet2_Cleaned_Data!A79</f>
        <v>STR-1019</v>
      </c>
      <c r="B79" s="6" t="str">
        <f aca="false">Sheet2_Cleaned_Data!B79</f>
        <v>2025-03-01</v>
      </c>
      <c r="C79" s="6" t="str">
        <f aca="false">Sheet2_Cleaned_Data!C79</f>
        <v>East</v>
      </c>
      <c r="D79" s="6" t="str">
        <f aca="false">Sheet2_Cleaned_Data!D79</f>
        <v>Residential</v>
      </c>
      <c r="E79" s="15" t="n">
        <f aca="false">Sheet2_Cleaned_Data!M79</f>
        <v>788087.68</v>
      </c>
      <c r="F79" s="16" t="n">
        <f aca="false">Sheet5_Multiple_Regression!$J$6+Sheet5_Multiple_Regression!$J$7*Sheet5_Multiple_Regression!A80+Sheet5_Multiple_Regression!$J$8*Sheet5_Multiple_Regression!B80+Sheet5_Multiple_Regression!$J$9*Sheet5_Multiple_Regression!C80+Sheet5_Multiple_Regression!$J$10*Sheet5_Multiple_Regression!D80+Sheet5_Multiple_Regression!$J$11*Sheet5_Multiple_Regression!E80+Sheet5_Multiple_Regression!$J$12*Sheet5_Multiple_Regression!F80+Sheet5_Multiple_Regression!$J$13*Sheet5_Multiple_Regression!G80</f>
        <v>700134.401560716</v>
      </c>
      <c r="G79" s="16" t="n">
        <f aca="false">E79-F79</f>
        <v>87953.2784392837</v>
      </c>
    </row>
    <row r="80" customFormat="false" ht="15" hidden="false" customHeight="false" outlineLevel="0" collapsed="false">
      <c r="A80" s="6" t="str">
        <f aca="false">Sheet2_Cleaned_Data!A80</f>
        <v>STR-1019</v>
      </c>
      <c r="B80" s="6" t="str">
        <f aca="false">Sheet2_Cleaned_Data!B80</f>
        <v>2025-04-01</v>
      </c>
      <c r="C80" s="6" t="str">
        <f aca="false">Sheet2_Cleaned_Data!C80</f>
        <v>East</v>
      </c>
      <c r="D80" s="6" t="str">
        <f aca="false">Sheet2_Cleaned_Data!D80</f>
        <v>Residential</v>
      </c>
      <c r="E80" s="15" t="n">
        <f aca="false">Sheet2_Cleaned_Data!M80</f>
        <v>680840.36</v>
      </c>
      <c r="F80" s="16" t="n">
        <f aca="false">Sheet5_Multiple_Regression!$J$6+Sheet5_Multiple_Regression!$J$7*Sheet5_Multiple_Regression!A81+Sheet5_Multiple_Regression!$J$8*Sheet5_Multiple_Regression!B81+Sheet5_Multiple_Regression!$J$9*Sheet5_Multiple_Regression!C81+Sheet5_Multiple_Regression!$J$10*Sheet5_Multiple_Regression!D81+Sheet5_Multiple_Regression!$J$11*Sheet5_Multiple_Regression!E81+Sheet5_Multiple_Regression!$J$12*Sheet5_Multiple_Regression!F81+Sheet5_Multiple_Regression!$J$13*Sheet5_Multiple_Regression!G81</f>
        <v>710349.698106845</v>
      </c>
      <c r="G80" s="16" t="n">
        <f aca="false">E80-F80</f>
        <v>-29509.3381068452</v>
      </c>
    </row>
    <row r="81" customFormat="false" ht="15" hidden="false" customHeight="false" outlineLevel="0" collapsed="false">
      <c r="A81" s="6" t="str">
        <f aca="false">Sheet2_Cleaned_Data!A81</f>
        <v>STR-1020</v>
      </c>
      <c r="B81" s="6" t="str">
        <f aca="false">Sheet2_Cleaned_Data!B81</f>
        <v>2025-01-01</v>
      </c>
      <c r="C81" s="6" t="str">
        <f aca="false">Sheet2_Cleaned_Data!C81</f>
        <v>South</v>
      </c>
      <c r="D81" s="6" t="str">
        <f aca="false">Sheet2_Cleaned_Data!D81</f>
        <v>High Street</v>
      </c>
      <c r="E81" s="15" t="n">
        <f aca="false">Sheet2_Cleaned_Data!M81</f>
        <v>643657.47</v>
      </c>
      <c r="F81" s="16" t="n">
        <f aca="false">Sheet5_Multiple_Regression!$J$6+Sheet5_Multiple_Regression!$J$7*Sheet5_Multiple_Regression!A82+Sheet5_Multiple_Regression!$J$8*Sheet5_Multiple_Regression!B82+Sheet5_Multiple_Regression!$J$9*Sheet5_Multiple_Regression!C82+Sheet5_Multiple_Regression!$J$10*Sheet5_Multiple_Regression!D82+Sheet5_Multiple_Regression!$J$11*Sheet5_Multiple_Regression!E82+Sheet5_Multiple_Regression!$J$12*Sheet5_Multiple_Regression!F82+Sheet5_Multiple_Regression!$J$13*Sheet5_Multiple_Regression!G82</f>
        <v>654888.577296998</v>
      </c>
      <c r="G81" s="16" t="n">
        <f aca="false">E81-F81</f>
        <v>-11231.1072969983</v>
      </c>
    </row>
    <row r="82" customFormat="false" ht="15" hidden="false" customHeight="false" outlineLevel="0" collapsed="false">
      <c r="A82" s="6" t="str">
        <f aca="false">Sheet2_Cleaned_Data!A82</f>
        <v>STR-1020</v>
      </c>
      <c r="B82" s="6" t="str">
        <f aca="false">Sheet2_Cleaned_Data!B82</f>
        <v>2025-02-01</v>
      </c>
      <c r="C82" s="6" t="str">
        <f aca="false">Sheet2_Cleaned_Data!C82</f>
        <v>South</v>
      </c>
      <c r="D82" s="6" t="str">
        <f aca="false">Sheet2_Cleaned_Data!D82</f>
        <v>High Street</v>
      </c>
      <c r="E82" s="15" t="n">
        <f aca="false">Sheet2_Cleaned_Data!M82</f>
        <v>691112.6</v>
      </c>
      <c r="F82" s="16" t="n">
        <f aca="false">Sheet5_Multiple_Regression!$J$6+Sheet5_Multiple_Regression!$J$7*Sheet5_Multiple_Regression!A83+Sheet5_Multiple_Regression!$J$8*Sheet5_Multiple_Regression!B83+Sheet5_Multiple_Regression!$J$9*Sheet5_Multiple_Regression!C83+Sheet5_Multiple_Regression!$J$10*Sheet5_Multiple_Regression!D83+Sheet5_Multiple_Regression!$J$11*Sheet5_Multiple_Regression!E83+Sheet5_Multiple_Regression!$J$12*Sheet5_Multiple_Regression!F83+Sheet5_Multiple_Regression!$J$13*Sheet5_Multiple_Regression!G83</f>
        <v>654105.895046573</v>
      </c>
      <c r="G82" s="16" t="n">
        <f aca="false">E82-F82</f>
        <v>37006.7049534273</v>
      </c>
    </row>
    <row r="83" customFormat="false" ht="15" hidden="false" customHeight="false" outlineLevel="0" collapsed="false">
      <c r="A83" s="6" t="str">
        <f aca="false">Sheet2_Cleaned_Data!A83</f>
        <v>STR-1020</v>
      </c>
      <c r="B83" s="6" t="str">
        <f aca="false">Sheet2_Cleaned_Data!B83</f>
        <v>2025-03-01</v>
      </c>
      <c r="C83" s="6" t="str">
        <f aca="false">Sheet2_Cleaned_Data!C83</f>
        <v>South</v>
      </c>
      <c r="D83" s="6" t="str">
        <f aca="false">Sheet2_Cleaned_Data!D83</f>
        <v>High Street</v>
      </c>
      <c r="E83" s="15" t="n">
        <f aca="false">Sheet2_Cleaned_Data!M83</f>
        <v>776922.17</v>
      </c>
      <c r="F83" s="16" t="n">
        <f aca="false">Sheet5_Multiple_Regression!$J$6+Sheet5_Multiple_Regression!$J$7*Sheet5_Multiple_Regression!A84+Sheet5_Multiple_Regression!$J$8*Sheet5_Multiple_Regression!B84+Sheet5_Multiple_Regression!$J$9*Sheet5_Multiple_Regression!C84+Sheet5_Multiple_Regression!$J$10*Sheet5_Multiple_Regression!D84+Sheet5_Multiple_Regression!$J$11*Sheet5_Multiple_Regression!E84+Sheet5_Multiple_Regression!$J$12*Sheet5_Multiple_Regression!F84+Sheet5_Multiple_Regression!$J$13*Sheet5_Multiple_Regression!G84</f>
        <v>722747.600619625</v>
      </c>
      <c r="G83" s="16" t="n">
        <f aca="false">E83-F83</f>
        <v>54174.5693803754</v>
      </c>
    </row>
    <row r="84" customFormat="false" ht="15" hidden="false" customHeight="false" outlineLevel="0" collapsed="false">
      <c r="A84" s="6" t="str">
        <f aca="false">Sheet2_Cleaned_Data!A84</f>
        <v>STR-1020</v>
      </c>
      <c r="B84" s="6" t="str">
        <f aca="false">Sheet2_Cleaned_Data!B84</f>
        <v>2025-04-01</v>
      </c>
      <c r="C84" s="6" t="str">
        <f aca="false">Sheet2_Cleaned_Data!C84</f>
        <v>South</v>
      </c>
      <c r="D84" s="6" t="str">
        <f aca="false">Sheet2_Cleaned_Data!D84</f>
        <v>High Street</v>
      </c>
      <c r="E84" s="15" t="n">
        <f aca="false">Sheet2_Cleaned_Data!M84</f>
        <v>636561.34</v>
      </c>
      <c r="F84" s="16" t="n">
        <f aca="false">Sheet5_Multiple_Regression!$J$6+Sheet5_Multiple_Regression!$J$7*Sheet5_Multiple_Regression!A85+Sheet5_Multiple_Regression!$J$8*Sheet5_Multiple_Regression!B85+Sheet5_Multiple_Regression!$J$9*Sheet5_Multiple_Regression!C85+Sheet5_Multiple_Regression!$J$10*Sheet5_Multiple_Regression!D85+Sheet5_Multiple_Regression!$J$11*Sheet5_Multiple_Regression!E85+Sheet5_Multiple_Regression!$J$12*Sheet5_Multiple_Regression!F85+Sheet5_Multiple_Regression!$J$13*Sheet5_Multiple_Regression!G85</f>
        <v>658082.302156977</v>
      </c>
      <c r="G84" s="16" t="n">
        <f aca="false">E84-F84</f>
        <v>-21520.9621569772</v>
      </c>
    </row>
    <row r="85" customFormat="false" ht="15" hidden="false" customHeight="false" outlineLevel="0" collapsed="false">
      <c r="A85" s="6" t="str">
        <f aca="false">Sheet2_Cleaned_Data!A85</f>
        <v>STR-1021</v>
      </c>
      <c r="B85" s="6" t="str">
        <f aca="false">Sheet2_Cleaned_Data!B85</f>
        <v>2025-01-01</v>
      </c>
      <c r="C85" s="6" t="str">
        <f aca="false">Sheet2_Cleaned_Data!C85</f>
        <v>West</v>
      </c>
      <c r="D85" s="6" t="str">
        <f aca="false">Sheet2_Cleaned_Data!D85</f>
        <v>Mall</v>
      </c>
      <c r="E85" s="15" t="n">
        <f aca="false">Sheet2_Cleaned_Data!M85</f>
        <v>621369.58</v>
      </c>
      <c r="F85" s="16" t="n">
        <f aca="false">Sheet5_Multiple_Regression!$J$6+Sheet5_Multiple_Regression!$J$7*Sheet5_Multiple_Regression!A86+Sheet5_Multiple_Regression!$J$8*Sheet5_Multiple_Regression!B86+Sheet5_Multiple_Regression!$J$9*Sheet5_Multiple_Regression!C86+Sheet5_Multiple_Regression!$J$10*Sheet5_Multiple_Regression!D86+Sheet5_Multiple_Regression!$J$11*Sheet5_Multiple_Regression!E86+Sheet5_Multiple_Regression!$J$12*Sheet5_Multiple_Regression!F86+Sheet5_Multiple_Regression!$J$13*Sheet5_Multiple_Regression!G86</f>
        <v>642681.423872196</v>
      </c>
      <c r="G85" s="16" t="n">
        <f aca="false">E85-F85</f>
        <v>-21311.8438721962</v>
      </c>
    </row>
    <row r="86" customFormat="false" ht="15" hidden="false" customHeight="false" outlineLevel="0" collapsed="false">
      <c r="A86" s="6" t="str">
        <f aca="false">Sheet2_Cleaned_Data!A86</f>
        <v>STR-1021</v>
      </c>
      <c r="B86" s="6" t="str">
        <f aca="false">Sheet2_Cleaned_Data!B86</f>
        <v>2025-02-01</v>
      </c>
      <c r="C86" s="6" t="str">
        <f aca="false">Sheet2_Cleaned_Data!C86</f>
        <v>West</v>
      </c>
      <c r="D86" s="6" t="str">
        <f aca="false">Sheet2_Cleaned_Data!D86</f>
        <v>Mall</v>
      </c>
      <c r="E86" s="15" t="n">
        <f aca="false">Sheet2_Cleaned_Data!M86</f>
        <v>682208.01</v>
      </c>
      <c r="F86" s="16" t="n">
        <f aca="false">Sheet5_Multiple_Regression!$J$6+Sheet5_Multiple_Regression!$J$7*Sheet5_Multiple_Regression!A87+Sheet5_Multiple_Regression!$J$8*Sheet5_Multiple_Regression!B87+Sheet5_Multiple_Regression!$J$9*Sheet5_Multiple_Regression!C87+Sheet5_Multiple_Regression!$J$10*Sheet5_Multiple_Regression!D87+Sheet5_Multiple_Regression!$J$11*Sheet5_Multiple_Regression!E87+Sheet5_Multiple_Regression!$J$12*Sheet5_Multiple_Regression!F87+Sheet5_Multiple_Regression!$J$13*Sheet5_Multiple_Regression!G87</f>
        <v>632158.984313689</v>
      </c>
      <c r="G86" s="16" t="n">
        <f aca="false">E86-F86</f>
        <v>50049.0256863107</v>
      </c>
    </row>
    <row r="87" customFormat="false" ht="15" hidden="false" customHeight="false" outlineLevel="0" collapsed="false">
      <c r="A87" s="6" t="str">
        <f aca="false">Sheet2_Cleaned_Data!A87</f>
        <v>STR-1021</v>
      </c>
      <c r="B87" s="6" t="str">
        <f aca="false">Sheet2_Cleaned_Data!B87</f>
        <v>2025-03-01</v>
      </c>
      <c r="C87" s="6" t="str">
        <f aca="false">Sheet2_Cleaned_Data!C87</f>
        <v>West</v>
      </c>
      <c r="D87" s="6" t="str">
        <f aca="false">Sheet2_Cleaned_Data!D87</f>
        <v>Mall</v>
      </c>
      <c r="E87" s="15" t="n">
        <f aca="false">Sheet2_Cleaned_Data!M87</f>
        <v>727241.86</v>
      </c>
      <c r="F87" s="16" t="n">
        <f aca="false">Sheet5_Multiple_Regression!$J$6+Sheet5_Multiple_Regression!$J$7*Sheet5_Multiple_Regression!A88+Sheet5_Multiple_Regression!$J$8*Sheet5_Multiple_Regression!B88+Sheet5_Multiple_Regression!$J$9*Sheet5_Multiple_Regression!C88+Sheet5_Multiple_Regression!$J$10*Sheet5_Multiple_Regression!D88+Sheet5_Multiple_Regression!$J$11*Sheet5_Multiple_Regression!E88+Sheet5_Multiple_Regression!$J$12*Sheet5_Multiple_Regression!F88+Sheet5_Multiple_Regression!$J$13*Sheet5_Multiple_Regression!G88</f>
        <v>645907.035362533</v>
      </c>
      <c r="G87" s="16" t="n">
        <f aca="false">E87-F87</f>
        <v>81334.8246374668</v>
      </c>
    </row>
    <row r="88" customFormat="false" ht="15" hidden="false" customHeight="false" outlineLevel="0" collapsed="false">
      <c r="A88" s="6" t="str">
        <f aca="false">Sheet2_Cleaned_Data!A88</f>
        <v>STR-1021</v>
      </c>
      <c r="B88" s="6" t="str">
        <f aca="false">Sheet2_Cleaned_Data!B88</f>
        <v>2025-04-01</v>
      </c>
      <c r="C88" s="6" t="str">
        <f aca="false">Sheet2_Cleaned_Data!C88</f>
        <v>West</v>
      </c>
      <c r="D88" s="6" t="str">
        <f aca="false">Sheet2_Cleaned_Data!D88</f>
        <v>Mall</v>
      </c>
      <c r="E88" s="15" t="n">
        <f aca="false">Sheet2_Cleaned_Data!M88</f>
        <v>569100.78</v>
      </c>
      <c r="F88" s="16" t="n">
        <f aca="false">Sheet5_Multiple_Regression!$J$6+Sheet5_Multiple_Regression!$J$7*Sheet5_Multiple_Regression!A89+Sheet5_Multiple_Regression!$J$8*Sheet5_Multiple_Regression!B89+Sheet5_Multiple_Regression!$J$9*Sheet5_Multiple_Regression!C89+Sheet5_Multiple_Regression!$J$10*Sheet5_Multiple_Regression!D89+Sheet5_Multiple_Regression!$J$11*Sheet5_Multiple_Regression!E89+Sheet5_Multiple_Regression!$J$12*Sheet5_Multiple_Regression!F89+Sheet5_Multiple_Regression!$J$13*Sheet5_Multiple_Regression!G89</f>
        <v>559803.247040578</v>
      </c>
      <c r="G88" s="16" t="n">
        <f aca="false">E88-F88</f>
        <v>9297.53295942175</v>
      </c>
    </row>
    <row r="89" customFormat="false" ht="15" hidden="false" customHeight="false" outlineLevel="0" collapsed="false">
      <c r="A89" s="6" t="str">
        <f aca="false">Sheet2_Cleaned_Data!A89</f>
        <v>STR-1022</v>
      </c>
      <c r="B89" s="6" t="str">
        <f aca="false">Sheet2_Cleaned_Data!B89</f>
        <v>2025-01-01</v>
      </c>
      <c r="C89" s="6" t="str">
        <f aca="false">Sheet2_Cleaned_Data!C89</f>
        <v>West</v>
      </c>
      <c r="D89" s="6" t="str">
        <f aca="false">Sheet2_Cleaned_Data!D89</f>
        <v>High Street</v>
      </c>
      <c r="E89" s="15" t="n">
        <f aca="false">Sheet2_Cleaned_Data!M89</f>
        <v>574436.29</v>
      </c>
      <c r="F89" s="16" t="n">
        <f aca="false">Sheet5_Multiple_Regression!$J$6+Sheet5_Multiple_Regression!$J$7*Sheet5_Multiple_Regression!A90+Sheet5_Multiple_Regression!$J$8*Sheet5_Multiple_Regression!B90+Sheet5_Multiple_Regression!$J$9*Sheet5_Multiple_Regression!C90+Sheet5_Multiple_Regression!$J$10*Sheet5_Multiple_Regression!D90+Sheet5_Multiple_Regression!$J$11*Sheet5_Multiple_Regression!E90+Sheet5_Multiple_Regression!$J$12*Sheet5_Multiple_Regression!F90+Sheet5_Multiple_Regression!$J$13*Sheet5_Multiple_Regression!G90</f>
        <v>555463.439682652</v>
      </c>
      <c r="G89" s="16" t="n">
        <f aca="false">E89-F89</f>
        <v>18972.8503173479</v>
      </c>
    </row>
    <row r="90" customFormat="false" ht="15" hidden="false" customHeight="false" outlineLevel="0" collapsed="false">
      <c r="A90" s="6" t="str">
        <f aca="false">Sheet2_Cleaned_Data!A90</f>
        <v>STR-1022</v>
      </c>
      <c r="B90" s="6" t="str">
        <f aca="false">Sheet2_Cleaned_Data!B90</f>
        <v>2025-02-01</v>
      </c>
      <c r="C90" s="6" t="str">
        <f aca="false">Sheet2_Cleaned_Data!C90</f>
        <v>West</v>
      </c>
      <c r="D90" s="6" t="str">
        <f aca="false">Sheet2_Cleaned_Data!D90</f>
        <v>High Street</v>
      </c>
      <c r="E90" s="15" t="n">
        <f aca="false">Sheet2_Cleaned_Data!M90</f>
        <v>611766.72</v>
      </c>
      <c r="F90" s="16" t="n">
        <f aca="false">Sheet5_Multiple_Regression!$J$6+Sheet5_Multiple_Regression!$J$7*Sheet5_Multiple_Regression!A91+Sheet5_Multiple_Regression!$J$8*Sheet5_Multiple_Regression!B91+Sheet5_Multiple_Regression!$J$9*Sheet5_Multiple_Regression!C91+Sheet5_Multiple_Regression!$J$10*Sheet5_Multiple_Regression!D91+Sheet5_Multiple_Regression!$J$11*Sheet5_Multiple_Regression!E91+Sheet5_Multiple_Regression!$J$12*Sheet5_Multiple_Regression!F91+Sheet5_Multiple_Regression!$J$13*Sheet5_Multiple_Regression!G91</f>
        <v>638458.712629196</v>
      </c>
      <c r="G90" s="16" t="n">
        <f aca="false">E90-F90</f>
        <v>-26691.9926291959</v>
      </c>
    </row>
    <row r="91" customFormat="false" ht="15" hidden="false" customHeight="false" outlineLevel="0" collapsed="false">
      <c r="A91" s="6" t="str">
        <f aca="false">Sheet2_Cleaned_Data!A91</f>
        <v>STR-1022</v>
      </c>
      <c r="B91" s="6" t="str">
        <f aca="false">Sheet2_Cleaned_Data!B91</f>
        <v>2025-03-01</v>
      </c>
      <c r="C91" s="6" t="str">
        <f aca="false">Sheet2_Cleaned_Data!C91</f>
        <v>West</v>
      </c>
      <c r="D91" s="6" t="str">
        <f aca="false">Sheet2_Cleaned_Data!D91</f>
        <v>High Street</v>
      </c>
      <c r="E91" s="15" t="n">
        <f aca="false">Sheet2_Cleaned_Data!M91</f>
        <v>614596.32</v>
      </c>
      <c r="F91" s="16" t="n">
        <f aca="false">Sheet5_Multiple_Regression!$J$6+Sheet5_Multiple_Regression!$J$7*Sheet5_Multiple_Regression!A92+Sheet5_Multiple_Regression!$J$8*Sheet5_Multiple_Regression!B92+Sheet5_Multiple_Regression!$J$9*Sheet5_Multiple_Regression!C92+Sheet5_Multiple_Regression!$J$10*Sheet5_Multiple_Regression!D92+Sheet5_Multiple_Regression!$J$11*Sheet5_Multiple_Regression!E92+Sheet5_Multiple_Regression!$J$12*Sheet5_Multiple_Regression!F92+Sheet5_Multiple_Regression!$J$13*Sheet5_Multiple_Regression!G92</f>
        <v>617742.643691337</v>
      </c>
      <c r="G91" s="16" t="n">
        <f aca="false">E91-F91</f>
        <v>-3146.32369133655</v>
      </c>
    </row>
    <row r="92" customFormat="false" ht="15" hidden="false" customHeight="false" outlineLevel="0" collapsed="false">
      <c r="A92" s="6" t="str">
        <f aca="false">Sheet2_Cleaned_Data!A92</f>
        <v>STR-1022</v>
      </c>
      <c r="B92" s="6" t="str">
        <f aca="false">Sheet2_Cleaned_Data!B92</f>
        <v>2025-04-01</v>
      </c>
      <c r="C92" s="6" t="str">
        <f aca="false">Sheet2_Cleaned_Data!C92</f>
        <v>West</v>
      </c>
      <c r="D92" s="6" t="str">
        <f aca="false">Sheet2_Cleaned_Data!D92</f>
        <v>High Street</v>
      </c>
      <c r="E92" s="15" t="n">
        <f aca="false">Sheet2_Cleaned_Data!M92</f>
        <v>450711.92</v>
      </c>
      <c r="F92" s="16" t="n">
        <f aca="false">Sheet5_Multiple_Regression!$J$6+Sheet5_Multiple_Regression!$J$7*Sheet5_Multiple_Regression!A93+Sheet5_Multiple_Regression!$J$8*Sheet5_Multiple_Regression!B93+Sheet5_Multiple_Regression!$J$9*Sheet5_Multiple_Regression!C93+Sheet5_Multiple_Regression!$J$10*Sheet5_Multiple_Regression!D93+Sheet5_Multiple_Regression!$J$11*Sheet5_Multiple_Regression!E93+Sheet5_Multiple_Regression!$J$12*Sheet5_Multiple_Regression!F93+Sheet5_Multiple_Regression!$J$13*Sheet5_Multiple_Regression!G93</f>
        <v>452230.665867408</v>
      </c>
      <c r="G92" s="16" t="n">
        <f aca="false">E92-F92</f>
        <v>-1518.745867408</v>
      </c>
    </row>
    <row r="93" customFormat="false" ht="15" hidden="false" customHeight="false" outlineLevel="0" collapsed="false">
      <c r="A93" s="6" t="str">
        <f aca="false">Sheet2_Cleaned_Data!A93</f>
        <v>STR-1023</v>
      </c>
      <c r="B93" s="6" t="str">
        <f aca="false">Sheet2_Cleaned_Data!B93</f>
        <v>2025-01-01</v>
      </c>
      <c r="C93" s="6" t="str">
        <f aca="false">Sheet2_Cleaned_Data!C93</f>
        <v>South</v>
      </c>
      <c r="D93" s="6" t="str">
        <f aca="false">Sheet2_Cleaned_Data!D93</f>
        <v>Mall</v>
      </c>
      <c r="E93" s="15" t="n">
        <f aca="false">Sheet2_Cleaned_Data!M93</f>
        <v>711213.46</v>
      </c>
      <c r="F93" s="16" t="n">
        <f aca="false">Sheet5_Multiple_Regression!$J$6+Sheet5_Multiple_Regression!$J$7*Sheet5_Multiple_Regression!A94+Sheet5_Multiple_Regression!$J$8*Sheet5_Multiple_Regression!B94+Sheet5_Multiple_Regression!$J$9*Sheet5_Multiple_Regression!C94+Sheet5_Multiple_Regression!$J$10*Sheet5_Multiple_Regression!D94+Sheet5_Multiple_Regression!$J$11*Sheet5_Multiple_Regression!E94+Sheet5_Multiple_Regression!$J$12*Sheet5_Multiple_Regression!F94+Sheet5_Multiple_Regression!$J$13*Sheet5_Multiple_Regression!G94</f>
        <v>679670.189874943</v>
      </c>
      <c r="G93" s="16" t="n">
        <f aca="false">E93-F93</f>
        <v>31543.2701250573</v>
      </c>
    </row>
    <row r="94" customFormat="false" ht="15" hidden="false" customHeight="false" outlineLevel="0" collapsed="false">
      <c r="A94" s="6" t="str">
        <f aca="false">Sheet2_Cleaned_Data!A94</f>
        <v>STR-1023</v>
      </c>
      <c r="B94" s="6" t="str">
        <f aca="false">Sheet2_Cleaned_Data!B94</f>
        <v>2025-02-01</v>
      </c>
      <c r="C94" s="6" t="str">
        <f aca="false">Sheet2_Cleaned_Data!C94</f>
        <v>South</v>
      </c>
      <c r="D94" s="6" t="str">
        <f aca="false">Sheet2_Cleaned_Data!D94</f>
        <v>Mall</v>
      </c>
      <c r="E94" s="15" t="n">
        <f aca="false">Sheet2_Cleaned_Data!M94</f>
        <v>627171.9</v>
      </c>
      <c r="F94" s="16" t="n">
        <f aca="false">Sheet5_Multiple_Regression!$J$6+Sheet5_Multiple_Regression!$J$7*Sheet5_Multiple_Regression!A95+Sheet5_Multiple_Regression!$J$8*Sheet5_Multiple_Regression!B95+Sheet5_Multiple_Regression!$J$9*Sheet5_Multiple_Regression!C95+Sheet5_Multiple_Regression!$J$10*Sheet5_Multiple_Regression!D95+Sheet5_Multiple_Regression!$J$11*Sheet5_Multiple_Regression!E95+Sheet5_Multiple_Regression!$J$12*Sheet5_Multiple_Regression!F95+Sheet5_Multiple_Regression!$J$13*Sheet5_Multiple_Regression!G95</f>
        <v>755437.161439066</v>
      </c>
      <c r="G94" s="16" t="n">
        <f aca="false">E94-F94</f>
        <v>-128265.261439066</v>
      </c>
    </row>
    <row r="95" customFormat="false" ht="15" hidden="false" customHeight="false" outlineLevel="0" collapsed="false">
      <c r="A95" s="6" t="str">
        <f aca="false">Sheet2_Cleaned_Data!A95</f>
        <v>STR-1023</v>
      </c>
      <c r="B95" s="6" t="str">
        <f aca="false">Sheet2_Cleaned_Data!B95</f>
        <v>2025-03-01</v>
      </c>
      <c r="C95" s="6" t="str">
        <f aca="false">Sheet2_Cleaned_Data!C95</f>
        <v>South</v>
      </c>
      <c r="D95" s="6" t="str">
        <f aca="false">Sheet2_Cleaned_Data!D95</f>
        <v>Mall</v>
      </c>
      <c r="E95" s="15" t="n">
        <f aca="false">Sheet2_Cleaned_Data!M95</f>
        <v>739852.58</v>
      </c>
      <c r="F95" s="16" t="n">
        <f aca="false">Sheet5_Multiple_Regression!$J$6+Sheet5_Multiple_Regression!$J$7*Sheet5_Multiple_Regression!A96+Sheet5_Multiple_Regression!$J$8*Sheet5_Multiple_Regression!B96+Sheet5_Multiple_Regression!$J$9*Sheet5_Multiple_Regression!C96+Sheet5_Multiple_Regression!$J$10*Sheet5_Multiple_Regression!D96+Sheet5_Multiple_Regression!$J$11*Sheet5_Multiple_Regression!E96+Sheet5_Multiple_Regression!$J$12*Sheet5_Multiple_Regression!F96+Sheet5_Multiple_Regression!$J$13*Sheet5_Multiple_Regression!G96</f>
        <v>718788.34045214</v>
      </c>
      <c r="G95" s="16" t="n">
        <f aca="false">E95-F95</f>
        <v>21064.2395478596</v>
      </c>
    </row>
    <row r="96" customFormat="false" ht="15" hidden="false" customHeight="false" outlineLevel="0" collapsed="false">
      <c r="A96" s="6" t="str">
        <f aca="false">Sheet2_Cleaned_Data!A96</f>
        <v>STR-1023</v>
      </c>
      <c r="B96" s="6" t="str">
        <f aca="false">Sheet2_Cleaned_Data!B96</f>
        <v>2025-04-01</v>
      </c>
      <c r="C96" s="6" t="str">
        <f aca="false">Sheet2_Cleaned_Data!C96</f>
        <v>South</v>
      </c>
      <c r="D96" s="6" t="str">
        <f aca="false">Sheet2_Cleaned_Data!D96</f>
        <v>Mall</v>
      </c>
      <c r="E96" s="15" t="n">
        <f aca="false">Sheet2_Cleaned_Data!M96</f>
        <v>586307.22</v>
      </c>
      <c r="F96" s="16" t="n">
        <f aca="false">Sheet5_Multiple_Regression!$J$6+Sheet5_Multiple_Regression!$J$7*Sheet5_Multiple_Regression!A97+Sheet5_Multiple_Regression!$J$8*Sheet5_Multiple_Regression!B97+Sheet5_Multiple_Regression!$J$9*Sheet5_Multiple_Regression!C97+Sheet5_Multiple_Regression!$J$10*Sheet5_Multiple_Regression!D97+Sheet5_Multiple_Regression!$J$11*Sheet5_Multiple_Regression!E97+Sheet5_Multiple_Regression!$J$12*Sheet5_Multiple_Regression!F97+Sheet5_Multiple_Regression!$J$13*Sheet5_Multiple_Regression!G97</f>
        <v>560978.887454168</v>
      </c>
      <c r="G96" s="16" t="n">
        <f aca="false">E96-F96</f>
        <v>25328.3325458317</v>
      </c>
    </row>
    <row r="97" customFormat="false" ht="15" hidden="false" customHeight="false" outlineLevel="0" collapsed="false">
      <c r="A97" s="6" t="str">
        <f aca="false">Sheet2_Cleaned_Data!A97</f>
        <v>STR-1024</v>
      </c>
      <c r="B97" s="6" t="str">
        <f aca="false">Sheet2_Cleaned_Data!B97</f>
        <v>2025-01-01</v>
      </c>
      <c r="C97" s="6" t="str">
        <f aca="false">Sheet2_Cleaned_Data!C97</f>
        <v>West</v>
      </c>
      <c r="D97" s="6" t="str">
        <f aca="false">Sheet2_Cleaned_Data!D97</f>
        <v>Residential</v>
      </c>
      <c r="E97" s="15" t="n">
        <f aca="false">Sheet2_Cleaned_Data!M97</f>
        <v>585937.48</v>
      </c>
      <c r="F97" s="16" t="n">
        <f aca="false">Sheet5_Multiple_Regression!$J$6+Sheet5_Multiple_Regression!$J$7*Sheet5_Multiple_Regression!A98+Sheet5_Multiple_Regression!$J$8*Sheet5_Multiple_Regression!B98+Sheet5_Multiple_Regression!$J$9*Sheet5_Multiple_Regression!C98+Sheet5_Multiple_Regression!$J$10*Sheet5_Multiple_Regression!D98+Sheet5_Multiple_Regression!$J$11*Sheet5_Multiple_Regression!E98+Sheet5_Multiple_Regression!$J$12*Sheet5_Multiple_Regression!F98+Sheet5_Multiple_Regression!$J$13*Sheet5_Multiple_Regression!G98</f>
        <v>579524.178817848</v>
      </c>
      <c r="G97" s="16" t="n">
        <f aca="false">E97-F97</f>
        <v>6413.30118215247</v>
      </c>
    </row>
    <row r="98" customFormat="false" ht="15" hidden="false" customHeight="false" outlineLevel="0" collapsed="false">
      <c r="A98" s="6" t="str">
        <f aca="false">Sheet2_Cleaned_Data!A98</f>
        <v>STR-1024</v>
      </c>
      <c r="B98" s="6" t="str">
        <f aca="false">Sheet2_Cleaned_Data!B98</f>
        <v>2025-02-01</v>
      </c>
      <c r="C98" s="6" t="str">
        <f aca="false">Sheet2_Cleaned_Data!C98</f>
        <v>West</v>
      </c>
      <c r="D98" s="6" t="str">
        <f aca="false">Sheet2_Cleaned_Data!D98</f>
        <v>Residential</v>
      </c>
      <c r="E98" s="15" t="n">
        <f aca="false">Sheet2_Cleaned_Data!M98</f>
        <v>753473.55</v>
      </c>
      <c r="F98" s="16" t="n">
        <f aca="false">Sheet5_Multiple_Regression!$J$6+Sheet5_Multiple_Regression!$J$7*Sheet5_Multiple_Regression!A99+Sheet5_Multiple_Regression!$J$8*Sheet5_Multiple_Regression!B99+Sheet5_Multiple_Regression!$J$9*Sheet5_Multiple_Regression!C99+Sheet5_Multiple_Regression!$J$10*Sheet5_Multiple_Regression!D99+Sheet5_Multiple_Regression!$J$11*Sheet5_Multiple_Regression!E99+Sheet5_Multiple_Regression!$J$12*Sheet5_Multiple_Regression!F99+Sheet5_Multiple_Regression!$J$13*Sheet5_Multiple_Regression!G99</f>
        <v>689790.867577977</v>
      </c>
      <c r="G98" s="16" t="n">
        <f aca="false">E98-F98</f>
        <v>63682.6824220229</v>
      </c>
    </row>
    <row r="99" customFormat="false" ht="15" hidden="false" customHeight="false" outlineLevel="0" collapsed="false">
      <c r="A99" s="6" t="str">
        <f aca="false">Sheet2_Cleaned_Data!A99</f>
        <v>STR-1024</v>
      </c>
      <c r="B99" s="6" t="str">
        <f aca="false">Sheet2_Cleaned_Data!B99</f>
        <v>2025-03-01</v>
      </c>
      <c r="C99" s="6" t="str">
        <f aca="false">Sheet2_Cleaned_Data!C99</f>
        <v>West</v>
      </c>
      <c r="D99" s="6" t="str">
        <f aca="false">Sheet2_Cleaned_Data!D99</f>
        <v>Residential</v>
      </c>
      <c r="E99" s="15" t="n">
        <f aca="false">Sheet2_Cleaned_Data!M99</f>
        <v>838250.32</v>
      </c>
      <c r="F99" s="16" t="n">
        <f aca="false">Sheet5_Multiple_Regression!$J$6+Sheet5_Multiple_Regression!$J$7*Sheet5_Multiple_Regression!A100+Sheet5_Multiple_Regression!$J$8*Sheet5_Multiple_Regression!B100+Sheet5_Multiple_Regression!$J$9*Sheet5_Multiple_Regression!C100+Sheet5_Multiple_Regression!$J$10*Sheet5_Multiple_Regression!D100+Sheet5_Multiple_Regression!$J$11*Sheet5_Multiple_Regression!E100+Sheet5_Multiple_Regression!$J$12*Sheet5_Multiple_Regression!F100+Sheet5_Multiple_Regression!$J$13*Sheet5_Multiple_Regression!G100</f>
        <v>759075.146474258</v>
      </c>
      <c r="G99" s="16" t="n">
        <f aca="false">E99-F99</f>
        <v>79175.1735257421</v>
      </c>
    </row>
    <row r="100" customFormat="false" ht="15" hidden="false" customHeight="false" outlineLevel="0" collapsed="false">
      <c r="A100" s="6" t="str">
        <f aca="false">Sheet2_Cleaned_Data!A100</f>
        <v>STR-1024</v>
      </c>
      <c r="B100" s="6" t="str">
        <f aca="false">Sheet2_Cleaned_Data!B100</f>
        <v>2025-04-01</v>
      </c>
      <c r="C100" s="6" t="str">
        <f aca="false">Sheet2_Cleaned_Data!C100</f>
        <v>West</v>
      </c>
      <c r="D100" s="6" t="str">
        <f aca="false">Sheet2_Cleaned_Data!D100</f>
        <v>Residential</v>
      </c>
      <c r="E100" s="15" t="n">
        <f aca="false">Sheet2_Cleaned_Data!M100</f>
        <v>607898.12</v>
      </c>
      <c r="F100" s="16" t="n">
        <f aca="false">Sheet5_Multiple_Regression!$J$6+Sheet5_Multiple_Regression!$J$7*Sheet5_Multiple_Regression!A101+Sheet5_Multiple_Regression!$J$8*Sheet5_Multiple_Regression!B101+Sheet5_Multiple_Regression!$J$9*Sheet5_Multiple_Regression!C101+Sheet5_Multiple_Regression!$J$10*Sheet5_Multiple_Regression!D101+Sheet5_Multiple_Regression!$J$11*Sheet5_Multiple_Regression!E101+Sheet5_Multiple_Regression!$J$12*Sheet5_Multiple_Regression!F101+Sheet5_Multiple_Regression!$J$13*Sheet5_Multiple_Regression!G101</f>
        <v>613408.043551321</v>
      </c>
      <c r="G100" s="16" t="n">
        <f aca="false">E100-F100</f>
        <v>-5509.92355132115</v>
      </c>
    </row>
    <row r="101" customFormat="false" ht="15" hidden="false" customHeight="false" outlineLevel="0" collapsed="false">
      <c r="A101" s="6" t="str">
        <f aca="false">Sheet2_Cleaned_Data!A101</f>
        <v>STR-1025</v>
      </c>
      <c r="B101" s="6" t="str">
        <f aca="false">Sheet2_Cleaned_Data!B101</f>
        <v>2025-01-01</v>
      </c>
      <c r="C101" s="6" t="str">
        <f aca="false">Sheet2_Cleaned_Data!C101</f>
        <v>West</v>
      </c>
      <c r="D101" s="6" t="str">
        <f aca="false">Sheet2_Cleaned_Data!D101</f>
        <v>Mall</v>
      </c>
      <c r="E101" s="15" t="n">
        <f aca="false">Sheet2_Cleaned_Data!M101</f>
        <v>691113.62</v>
      </c>
      <c r="F101" s="16" t="n">
        <f aca="false">Sheet5_Multiple_Regression!$J$6+Sheet5_Multiple_Regression!$J$7*Sheet5_Multiple_Regression!A102+Sheet5_Multiple_Regression!$J$8*Sheet5_Multiple_Regression!B102+Sheet5_Multiple_Regression!$J$9*Sheet5_Multiple_Regression!C102+Sheet5_Multiple_Regression!$J$10*Sheet5_Multiple_Regression!D102+Sheet5_Multiple_Regression!$J$11*Sheet5_Multiple_Regression!E102+Sheet5_Multiple_Regression!$J$12*Sheet5_Multiple_Regression!F102+Sheet5_Multiple_Regression!$J$13*Sheet5_Multiple_Regression!G102</f>
        <v>698351.029452464</v>
      </c>
      <c r="G101" s="16" t="n">
        <f aca="false">E101-F101</f>
        <v>-7237.40945246373</v>
      </c>
    </row>
    <row r="102" customFormat="false" ht="15" hidden="false" customHeight="false" outlineLevel="0" collapsed="false">
      <c r="A102" s="6" t="str">
        <f aca="false">Sheet2_Cleaned_Data!A102</f>
        <v>STR-1025</v>
      </c>
      <c r="B102" s="6" t="str">
        <f aca="false">Sheet2_Cleaned_Data!B102</f>
        <v>2025-02-01</v>
      </c>
      <c r="C102" s="6" t="str">
        <f aca="false">Sheet2_Cleaned_Data!C102</f>
        <v>West</v>
      </c>
      <c r="D102" s="6" t="str">
        <f aca="false">Sheet2_Cleaned_Data!D102</f>
        <v>Mall</v>
      </c>
      <c r="E102" s="15" t="n">
        <f aca="false">Sheet2_Cleaned_Data!M102</f>
        <v>735509.4</v>
      </c>
      <c r="F102" s="16" t="n">
        <f aca="false">Sheet5_Multiple_Regression!$J$6+Sheet5_Multiple_Regression!$J$7*Sheet5_Multiple_Regression!A103+Sheet5_Multiple_Regression!$J$8*Sheet5_Multiple_Regression!B103+Sheet5_Multiple_Regression!$J$9*Sheet5_Multiple_Regression!C103+Sheet5_Multiple_Regression!$J$10*Sheet5_Multiple_Regression!D103+Sheet5_Multiple_Regression!$J$11*Sheet5_Multiple_Regression!E103+Sheet5_Multiple_Regression!$J$12*Sheet5_Multiple_Regression!F103+Sheet5_Multiple_Regression!$J$13*Sheet5_Multiple_Regression!G103</f>
        <v>661032.681884798</v>
      </c>
      <c r="G102" s="16" t="n">
        <f aca="false">E102-F102</f>
        <v>74476.7181152024</v>
      </c>
    </row>
    <row r="103" customFormat="false" ht="15" hidden="false" customHeight="false" outlineLevel="0" collapsed="false">
      <c r="A103" s="6" t="str">
        <f aca="false">Sheet2_Cleaned_Data!A103</f>
        <v>STR-1025</v>
      </c>
      <c r="B103" s="6" t="str">
        <f aca="false">Sheet2_Cleaned_Data!B103</f>
        <v>2025-03-01</v>
      </c>
      <c r="C103" s="6" t="str">
        <f aca="false">Sheet2_Cleaned_Data!C103</f>
        <v>West</v>
      </c>
      <c r="D103" s="6" t="str">
        <f aca="false">Sheet2_Cleaned_Data!D103</f>
        <v>Mall</v>
      </c>
      <c r="E103" s="15" t="n">
        <f aca="false">Sheet2_Cleaned_Data!M103</f>
        <v>605775.33</v>
      </c>
      <c r="F103" s="16" t="n">
        <f aca="false">Sheet5_Multiple_Regression!$J$6+Sheet5_Multiple_Regression!$J$7*Sheet5_Multiple_Regression!A104+Sheet5_Multiple_Regression!$J$8*Sheet5_Multiple_Regression!B104+Sheet5_Multiple_Regression!$J$9*Sheet5_Multiple_Regression!C104+Sheet5_Multiple_Regression!$J$10*Sheet5_Multiple_Regression!D104+Sheet5_Multiple_Regression!$J$11*Sheet5_Multiple_Regression!E104+Sheet5_Multiple_Regression!$J$12*Sheet5_Multiple_Regression!F104+Sheet5_Multiple_Regression!$J$13*Sheet5_Multiple_Regression!G104</f>
        <v>616928.095786002</v>
      </c>
      <c r="G103" s="16" t="n">
        <f aca="false">E103-F103</f>
        <v>-11152.7657860017</v>
      </c>
    </row>
    <row r="104" customFormat="false" ht="15" hidden="false" customHeight="false" outlineLevel="0" collapsed="false">
      <c r="A104" s="6" t="str">
        <f aca="false">Sheet2_Cleaned_Data!A104</f>
        <v>STR-1025</v>
      </c>
      <c r="B104" s="6" t="str">
        <f aca="false">Sheet2_Cleaned_Data!B104</f>
        <v>2025-04-01</v>
      </c>
      <c r="C104" s="6" t="str">
        <f aca="false">Sheet2_Cleaned_Data!C104</f>
        <v>West</v>
      </c>
      <c r="D104" s="6" t="str">
        <f aca="false">Sheet2_Cleaned_Data!D104</f>
        <v>Mall</v>
      </c>
      <c r="E104" s="15" t="n">
        <f aca="false">Sheet2_Cleaned_Data!M104</f>
        <v>675177.68</v>
      </c>
      <c r="F104" s="16" t="n">
        <f aca="false">Sheet5_Multiple_Regression!$J$6+Sheet5_Multiple_Regression!$J$7*Sheet5_Multiple_Regression!A105+Sheet5_Multiple_Regression!$J$8*Sheet5_Multiple_Regression!B105+Sheet5_Multiple_Regression!$J$9*Sheet5_Multiple_Regression!C105+Sheet5_Multiple_Regression!$J$10*Sheet5_Multiple_Regression!D105+Sheet5_Multiple_Regression!$J$11*Sheet5_Multiple_Regression!E105+Sheet5_Multiple_Regression!$J$12*Sheet5_Multiple_Regression!F105+Sheet5_Multiple_Regression!$J$13*Sheet5_Multiple_Regression!G105</f>
        <v>652321.552797377</v>
      </c>
      <c r="G104" s="16" t="n">
        <f aca="false">E104-F104</f>
        <v>22856.1272026235</v>
      </c>
    </row>
    <row r="105" customFormat="false" ht="15" hidden="false" customHeight="false" outlineLevel="0" collapsed="false">
      <c r="A105" s="6" t="str">
        <f aca="false">Sheet2_Cleaned_Data!A105</f>
        <v>STR-1026</v>
      </c>
      <c r="B105" s="6" t="str">
        <f aca="false">Sheet2_Cleaned_Data!B105</f>
        <v>2025-01-01</v>
      </c>
      <c r="C105" s="6" t="str">
        <f aca="false">Sheet2_Cleaned_Data!C105</f>
        <v>East</v>
      </c>
      <c r="D105" s="6" t="str">
        <f aca="false">Sheet2_Cleaned_Data!D105</f>
        <v>Mall</v>
      </c>
      <c r="E105" s="15" t="n">
        <f aca="false">Sheet2_Cleaned_Data!M105</f>
        <v>635181.35</v>
      </c>
      <c r="F105" s="16" t="n">
        <f aca="false">Sheet5_Multiple_Regression!$J$6+Sheet5_Multiple_Regression!$J$7*Sheet5_Multiple_Regression!A106+Sheet5_Multiple_Regression!$J$8*Sheet5_Multiple_Regression!B106+Sheet5_Multiple_Regression!$J$9*Sheet5_Multiple_Regression!C106+Sheet5_Multiple_Regression!$J$10*Sheet5_Multiple_Regression!D106+Sheet5_Multiple_Regression!$J$11*Sheet5_Multiple_Regression!E106+Sheet5_Multiple_Regression!$J$12*Sheet5_Multiple_Regression!F106+Sheet5_Multiple_Regression!$J$13*Sheet5_Multiple_Regression!G106</f>
        <v>598293.952754417</v>
      </c>
      <c r="G105" s="16" t="n">
        <f aca="false">E105-F105</f>
        <v>36887.3972455827</v>
      </c>
    </row>
    <row r="106" customFormat="false" ht="15" hidden="false" customHeight="false" outlineLevel="0" collapsed="false">
      <c r="A106" s="6" t="str">
        <f aca="false">Sheet2_Cleaned_Data!A106</f>
        <v>STR-1026</v>
      </c>
      <c r="B106" s="6" t="str">
        <f aca="false">Sheet2_Cleaned_Data!B106</f>
        <v>2025-02-01</v>
      </c>
      <c r="C106" s="6" t="str">
        <f aca="false">Sheet2_Cleaned_Data!C106</f>
        <v>East</v>
      </c>
      <c r="D106" s="6" t="str">
        <f aca="false">Sheet2_Cleaned_Data!D106</f>
        <v>Mall</v>
      </c>
      <c r="E106" s="15" t="n">
        <f aca="false">Sheet2_Cleaned_Data!M106</f>
        <v>586626.94</v>
      </c>
      <c r="F106" s="16" t="n">
        <f aca="false">Sheet5_Multiple_Regression!$J$6+Sheet5_Multiple_Regression!$J$7*Sheet5_Multiple_Regression!A107+Sheet5_Multiple_Regression!$J$8*Sheet5_Multiple_Regression!B107+Sheet5_Multiple_Regression!$J$9*Sheet5_Multiple_Regression!C107+Sheet5_Multiple_Regression!$J$10*Sheet5_Multiple_Regression!D107+Sheet5_Multiple_Regression!$J$11*Sheet5_Multiple_Regression!E107+Sheet5_Multiple_Regression!$J$12*Sheet5_Multiple_Regression!F107+Sheet5_Multiple_Regression!$J$13*Sheet5_Multiple_Regression!G107</f>
        <v>630220.803129651</v>
      </c>
      <c r="G106" s="16" t="n">
        <f aca="false">E106-F106</f>
        <v>-43593.8631296509</v>
      </c>
    </row>
    <row r="107" customFormat="false" ht="15" hidden="false" customHeight="false" outlineLevel="0" collapsed="false">
      <c r="A107" s="6" t="str">
        <f aca="false">Sheet2_Cleaned_Data!A107</f>
        <v>STR-1026</v>
      </c>
      <c r="B107" s="6" t="str">
        <f aca="false">Sheet2_Cleaned_Data!B107</f>
        <v>2025-03-01</v>
      </c>
      <c r="C107" s="6" t="str">
        <f aca="false">Sheet2_Cleaned_Data!C107</f>
        <v>East</v>
      </c>
      <c r="D107" s="6" t="str">
        <f aca="false">Sheet2_Cleaned_Data!D107</f>
        <v>Mall</v>
      </c>
      <c r="E107" s="15" t="n">
        <f aca="false">Sheet2_Cleaned_Data!M107</f>
        <v>740102.64</v>
      </c>
      <c r="F107" s="16" t="n">
        <f aca="false">Sheet5_Multiple_Regression!$J$6+Sheet5_Multiple_Regression!$J$7*Sheet5_Multiple_Regression!A108+Sheet5_Multiple_Regression!$J$8*Sheet5_Multiple_Regression!B108+Sheet5_Multiple_Regression!$J$9*Sheet5_Multiple_Regression!C108+Sheet5_Multiple_Regression!$J$10*Sheet5_Multiple_Regression!D108+Sheet5_Multiple_Regression!$J$11*Sheet5_Multiple_Regression!E108+Sheet5_Multiple_Regression!$J$12*Sheet5_Multiple_Regression!F108+Sheet5_Multiple_Regression!$J$13*Sheet5_Multiple_Regression!G108</f>
        <v>714030.96224383</v>
      </c>
      <c r="G107" s="16" t="n">
        <f aca="false">E107-F107</f>
        <v>26071.6777561704</v>
      </c>
    </row>
    <row r="108" customFormat="false" ht="15" hidden="false" customHeight="false" outlineLevel="0" collapsed="false">
      <c r="A108" s="6" t="str">
        <f aca="false">Sheet2_Cleaned_Data!A108</f>
        <v>STR-1026</v>
      </c>
      <c r="B108" s="6" t="str">
        <f aca="false">Sheet2_Cleaned_Data!B108</f>
        <v>2025-04-01</v>
      </c>
      <c r="C108" s="6" t="str">
        <f aca="false">Sheet2_Cleaned_Data!C108</f>
        <v>East</v>
      </c>
      <c r="D108" s="6" t="str">
        <f aca="false">Sheet2_Cleaned_Data!D108</f>
        <v>Mall</v>
      </c>
      <c r="E108" s="15" t="n">
        <f aca="false">Sheet2_Cleaned_Data!M108</f>
        <v>625514.04</v>
      </c>
      <c r="F108" s="16" t="n">
        <f aca="false">Sheet5_Multiple_Regression!$J$6+Sheet5_Multiple_Regression!$J$7*Sheet5_Multiple_Regression!A109+Sheet5_Multiple_Regression!$J$8*Sheet5_Multiple_Regression!B109+Sheet5_Multiple_Regression!$J$9*Sheet5_Multiple_Regression!C109+Sheet5_Multiple_Regression!$J$10*Sheet5_Multiple_Regression!D109+Sheet5_Multiple_Regression!$J$11*Sheet5_Multiple_Regression!E109+Sheet5_Multiple_Regression!$J$12*Sheet5_Multiple_Regression!F109+Sheet5_Multiple_Regression!$J$13*Sheet5_Multiple_Regression!G109</f>
        <v>538915.985132419</v>
      </c>
      <c r="G108" s="16" t="n">
        <f aca="false">E108-F108</f>
        <v>86598.0548675811</v>
      </c>
    </row>
    <row r="109" customFormat="false" ht="15" hidden="false" customHeight="false" outlineLevel="0" collapsed="false">
      <c r="A109" s="6" t="str">
        <f aca="false">Sheet2_Cleaned_Data!A109</f>
        <v>STR-1027</v>
      </c>
      <c r="B109" s="6" t="str">
        <f aca="false">Sheet2_Cleaned_Data!B109</f>
        <v>2025-01-01</v>
      </c>
      <c r="C109" s="6" t="str">
        <f aca="false">Sheet2_Cleaned_Data!C109</f>
        <v>West</v>
      </c>
      <c r="D109" s="6" t="str">
        <f aca="false">Sheet2_Cleaned_Data!D109</f>
        <v>High Street</v>
      </c>
      <c r="E109" s="15" t="n">
        <f aca="false">Sheet2_Cleaned_Data!M109</f>
        <v>727227.2</v>
      </c>
      <c r="F109" s="16" t="n">
        <f aca="false">Sheet5_Multiple_Regression!$J$6+Sheet5_Multiple_Regression!$J$7*Sheet5_Multiple_Regression!A110+Sheet5_Multiple_Regression!$J$8*Sheet5_Multiple_Regression!B110+Sheet5_Multiple_Regression!$J$9*Sheet5_Multiple_Regression!C110+Sheet5_Multiple_Regression!$J$10*Sheet5_Multiple_Regression!D110+Sheet5_Multiple_Regression!$J$11*Sheet5_Multiple_Regression!E110+Sheet5_Multiple_Regression!$J$12*Sheet5_Multiple_Regression!F110+Sheet5_Multiple_Regression!$J$13*Sheet5_Multiple_Regression!G110</f>
        <v>693588.799582273</v>
      </c>
      <c r="G109" s="16" t="n">
        <f aca="false">E109-F109</f>
        <v>33638.4004177267</v>
      </c>
    </row>
    <row r="110" customFormat="false" ht="15" hidden="false" customHeight="false" outlineLevel="0" collapsed="false">
      <c r="A110" s="6" t="str">
        <f aca="false">Sheet2_Cleaned_Data!A110</f>
        <v>STR-1027</v>
      </c>
      <c r="B110" s="6" t="str">
        <f aca="false">Sheet2_Cleaned_Data!B110</f>
        <v>2025-02-01</v>
      </c>
      <c r="C110" s="6" t="str">
        <f aca="false">Sheet2_Cleaned_Data!C110</f>
        <v>West</v>
      </c>
      <c r="D110" s="6" t="str">
        <f aca="false">Sheet2_Cleaned_Data!D110</f>
        <v>High Street</v>
      </c>
      <c r="E110" s="15" t="n">
        <f aca="false">Sheet2_Cleaned_Data!M110</f>
        <v>783797.89</v>
      </c>
      <c r="F110" s="16" t="n">
        <f aca="false">Sheet5_Multiple_Regression!$J$6+Sheet5_Multiple_Regression!$J$7*Sheet5_Multiple_Regression!A111+Sheet5_Multiple_Regression!$J$8*Sheet5_Multiple_Regression!B111+Sheet5_Multiple_Regression!$J$9*Sheet5_Multiple_Regression!C111+Sheet5_Multiple_Regression!$J$10*Sheet5_Multiple_Regression!D111+Sheet5_Multiple_Regression!$J$11*Sheet5_Multiple_Regression!E111+Sheet5_Multiple_Regression!$J$12*Sheet5_Multiple_Regression!F111+Sheet5_Multiple_Regression!$J$13*Sheet5_Multiple_Regression!G111</f>
        <v>790355.33744135</v>
      </c>
      <c r="G110" s="16" t="n">
        <f aca="false">E110-F110</f>
        <v>-6557.44744134985</v>
      </c>
    </row>
    <row r="111" customFormat="false" ht="15" hidden="false" customHeight="false" outlineLevel="0" collapsed="false">
      <c r="A111" s="6" t="str">
        <f aca="false">Sheet2_Cleaned_Data!A111</f>
        <v>STR-1027</v>
      </c>
      <c r="B111" s="6" t="str">
        <f aca="false">Sheet2_Cleaned_Data!B111</f>
        <v>2025-03-01</v>
      </c>
      <c r="C111" s="6" t="str">
        <f aca="false">Sheet2_Cleaned_Data!C111</f>
        <v>West</v>
      </c>
      <c r="D111" s="6" t="str">
        <f aca="false">Sheet2_Cleaned_Data!D111</f>
        <v>High Street</v>
      </c>
      <c r="E111" s="15" t="n">
        <f aca="false">Sheet2_Cleaned_Data!M111</f>
        <v>795153.84</v>
      </c>
      <c r="F111" s="16" t="n">
        <f aca="false">Sheet5_Multiple_Regression!$J$6+Sheet5_Multiple_Regression!$J$7*Sheet5_Multiple_Regression!A112+Sheet5_Multiple_Regression!$J$8*Sheet5_Multiple_Regression!B112+Sheet5_Multiple_Regression!$J$9*Sheet5_Multiple_Regression!C112+Sheet5_Multiple_Regression!$J$10*Sheet5_Multiple_Regression!D112+Sheet5_Multiple_Regression!$J$11*Sheet5_Multiple_Regression!E112+Sheet5_Multiple_Regression!$J$12*Sheet5_Multiple_Regression!F112+Sheet5_Multiple_Regression!$J$13*Sheet5_Multiple_Regression!G112</f>
        <v>721805.685931084</v>
      </c>
      <c r="G111" s="16" t="n">
        <f aca="false">E111-F111</f>
        <v>73348.1540689158</v>
      </c>
    </row>
    <row r="112" customFormat="false" ht="15" hidden="false" customHeight="false" outlineLevel="0" collapsed="false">
      <c r="A112" s="6" t="str">
        <f aca="false">Sheet2_Cleaned_Data!A112</f>
        <v>STR-1027</v>
      </c>
      <c r="B112" s="6" t="str">
        <f aca="false">Sheet2_Cleaned_Data!B112</f>
        <v>2025-04-01</v>
      </c>
      <c r="C112" s="6" t="str">
        <f aca="false">Sheet2_Cleaned_Data!C112</f>
        <v>West</v>
      </c>
      <c r="D112" s="6" t="str">
        <f aca="false">Sheet2_Cleaned_Data!D112</f>
        <v>High Street</v>
      </c>
      <c r="E112" s="15" t="n">
        <f aca="false">Sheet2_Cleaned_Data!M112</f>
        <v>665594.94</v>
      </c>
      <c r="F112" s="16" t="n">
        <f aca="false">Sheet5_Multiple_Regression!$J$6+Sheet5_Multiple_Regression!$J$7*Sheet5_Multiple_Regression!A113+Sheet5_Multiple_Regression!$J$8*Sheet5_Multiple_Regression!B113+Sheet5_Multiple_Regression!$J$9*Sheet5_Multiple_Regression!C113+Sheet5_Multiple_Regression!$J$10*Sheet5_Multiple_Regression!D113+Sheet5_Multiple_Regression!$J$11*Sheet5_Multiple_Regression!E113+Sheet5_Multiple_Regression!$J$12*Sheet5_Multiple_Regression!F113+Sheet5_Multiple_Regression!$J$13*Sheet5_Multiple_Regression!G113</f>
        <v>670444.90499398</v>
      </c>
      <c r="G112" s="16" t="n">
        <f aca="false">E112-F112</f>
        <v>-4849.96499397967</v>
      </c>
    </row>
    <row r="113" customFormat="false" ht="15" hidden="false" customHeight="false" outlineLevel="0" collapsed="false">
      <c r="A113" s="6" t="str">
        <f aca="false">Sheet2_Cleaned_Data!A113</f>
        <v>STR-1028</v>
      </c>
      <c r="B113" s="6" t="str">
        <f aca="false">Sheet2_Cleaned_Data!B113</f>
        <v>2025-01-01</v>
      </c>
      <c r="C113" s="6" t="str">
        <f aca="false">Sheet2_Cleaned_Data!C113</f>
        <v>East</v>
      </c>
      <c r="D113" s="6" t="str">
        <f aca="false">Sheet2_Cleaned_Data!D113</f>
        <v>Mall</v>
      </c>
      <c r="E113" s="15" t="n">
        <f aca="false">Sheet2_Cleaned_Data!M113</f>
        <v>709478.39</v>
      </c>
      <c r="F113" s="16" t="n">
        <f aca="false">Sheet5_Multiple_Regression!$J$6+Sheet5_Multiple_Regression!$J$7*Sheet5_Multiple_Regression!A114+Sheet5_Multiple_Regression!$J$8*Sheet5_Multiple_Regression!B114+Sheet5_Multiple_Regression!$J$9*Sheet5_Multiple_Regression!C114+Sheet5_Multiple_Regression!$J$10*Sheet5_Multiple_Regression!D114+Sheet5_Multiple_Regression!$J$11*Sheet5_Multiple_Regression!E114+Sheet5_Multiple_Regression!$J$12*Sheet5_Multiple_Regression!F114+Sheet5_Multiple_Regression!$J$13*Sheet5_Multiple_Regression!G114</f>
        <v>683114.860835226</v>
      </c>
      <c r="G113" s="16" t="n">
        <f aca="false">E113-F113</f>
        <v>26363.5291647739</v>
      </c>
    </row>
    <row r="114" customFormat="false" ht="15" hidden="false" customHeight="false" outlineLevel="0" collapsed="false">
      <c r="A114" s="6" t="str">
        <f aca="false">Sheet2_Cleaned_Data!A114</f>
        <v>STR-1028</v>
      </c>
      <c r="B114" s="6" t="str">
        <f aca="false">Sheet2_Cleaned_Data!B114</f>
        <v>2025-02-01</v>
      </c>
      <c r="C114" s="6" t="str">
        <f aca="false">Sheet2_Cleaned_Data!C114</f>
        <v>East</v>
      </c>
      <c r="D114" s="6" t="str">
        <f aca="false">Sheet2_Cleaned_Data!D114</f>
        <v>Mall</v>
      </c>
      <c r="E114" s="15" t="n">
        <f aca="false">Sheet2_Cleaned_Data!M114</f>
        <v>664162.49</v>
      </c>
      <c r="F114" s="16" t="n">
        <f aca="false">Sheet5_Multiple_Regression!$J$6+Sheet5_Multiple_Regression!$J$7*Sheet5_Multiple_Regression!A115+Sheet5_Multiple_Regression!$J$8*Sheet5_Multiple_Regression!B115+Sheet5_Multiple_Regression!$J$9*Sheet5_Multiple_Regression!C115+Sheet5_Multiple_Regression!$J$10*Sheet5_Multiple_Regression!D115+Sheet5_Multiple_Regression!$J$11*Sheet5_Multiple_Regression!E115+Sheet5_Multiple_Regression!$J$12*Sheet5_Multiple_Regression!F115+Sheet5_Multiple_Regression!$J$13*Sheet5_Multiple_Regression!G115</f>
        <v>656563.086061162</v>
      </c>
      <c r="G114" s="16" t="n">
        <f aca="false">E114-F114</f>
        <v>7599.40393883758</v>
      </c>
    </row>
    <row r="115" customFormat="false" ht="15" hidden="false" customHeight="false" outlineLevel="0" collapsed="false">
      <c r="A115" s="6" t="str">
        <f aca="false">Sheet2_Cleaned_Data!A115</f>
        <v>STR-1028</v>
      </c>
      <c r="B115" s="6" t="str">
        <f aca="false">Sheet2_Cleaned_Data!B115</f>
        <v>2025-03-01</v>
      </c>
      <c r="C115" s="6" t="str">
        <f aca="false">Sheet2_Cleaned_Data!C115</f>
        <v>East</v>
      </c>
      <c r="D115" s="6" t="str">
        <f aca="false">Sheet2_Cleaned_Data!D115</f>
        <v>Mall</v>
      </c>
      <c r="E115" s="15" t="n">
        <f aca="false">Sheet2_Cleaned_Data!M115</f>
        <v>633494.21</v>
      </c>
      <c r="F115" s="16" t="n">
        <f aca="false">Sheet5_Multiple_Regression!$J$6+Sheet5_Multiple_Regression!$J$7*Sheet5_Multiple_Regression!A116+Sheet5_Multiple_Regression!$J$8*Sheet5_Multiple_Regression!B116+Sheet5_Multiple_Regression!$J$9*Sheet5_Multiple_Regression!C116+Sheet5_Multiple_Regression!$J$10*Sheet5_Multiple_Regression!D116+Sheet5_Multiple_Regression!$J$11*Sheet5_Multiple_Regression!E116+Sheet5_Multiple_Regression!$J$12*Sheet5_Multiple_Regression!F116+Sheet5_Multiple_Regression!$J$13*Sheet5_Multiple_Regression!G116</f>
        <v>663832.041587084</v>
      </c>
      <c r="G115" s="16" t="n">
        <f aca="false">E115-F115</f>
        <v>-30337.8315870836</v>
      </c>
    </row>
    <row r="116" customFormat="false" ht="15" hidden="false" customHeight="false" outlineLevel="0" collapsed="false">
      <c r="A116" s="6" t="str">
        <f aca="false">Sheet2_Cleaned_Data!A116</f>
        <v>STR-1028</v>
      </c>
      <c r="B116" s="6" t="str">
        <f aca="false">Sheet2_Cleaned_Data!B116</f>
        <v>2025-04-01</v>
      </c>
      <c r="C116" s="6" t="str">
        <f aca="false">Sheet2_Cleaned_Data!C116</f>
        <v>East</v>
      </c>
      <c r="D116" s="6" t="str">
        <f aca="false">Sheet2_Cleaned_Data!D116</f>
        <v>Mall</v>
      </c>
      <c r="E116" s="15" t="n">
        <f aca="false">Sheet2_Cleaned_Data!M116</f>
        <v>713611.16</v>
      </c>
      <c r="F116" s="16" t="n">
        <f aca="false">Sheet5_Multiple_Regression!$J$6+Sheet5_Multiple_Regression!$J$7*Sheet5_Multiple_Regression!A117+Sheet5_Multiple_Regression!$J$8*Sheet5_Multiple_Regression!B117+Sheet5_Multiple_Regression!$J$9*Sheet5_Multiple_Regression!C117+Sheet5_Multiple_Regression!$J$10*Sheet5_Multiple_Regression!D117+Sheet5_Multiple_Regression!$J$11*Sheet5_Multiple_Regression!E117+Sheet5_Multiple_Regression!$J$12*Sheet5_Multiple_Regression!F117+Sheet5_Multiple_Regression!$J$13*Sheet5_Multiple_Regression!G117</f>
        <v>618465.83619347</v>
      </c>
      <c r="G116" s="16" t="n">
        <f aca="false">E116-F116</f>
        <v>95145.3238065299</v>
      </c>
    </row>
    <row r="117" customFormat="false" ht="15" hidden="false" customHeight="false" outlineLevel="0" collapsed="false">
      <c r="A117" s="6" t="str">
        <f aca="false">Sheet2_Cleaned_Data!A117</f>
        <v>STR-1029</v>
      </c>
      <c r="B117" s="6" t="str">
        <f aca="false">Sheet2_Cleaned_Data!B117</f>
        <v>2025-01-01</v>
      </c>
      <c r="C117" s="6" t="str">
        <f aca="false">Sheet2_Cleaned_Data!C117</f>
        <v>West</v>
      </c>
      <c r="D117" s="6" t="str">
        <f aca="false">Sheet2_Cleaned_Data!D117</f>
        <v>Mall</v>
      </c>
      <c r="E117" s="15" t="n">
        <f aca="false">Sheet2_Cleaned_Data!M117</f>
        <v>778397.97</v>
      </c>
      <c r="F117" s="16" t="n">
        <f aca="false">Sheet5_Multiple_Regression!$J$6+Sheet5_Multiple_Regression!$J$7*Sheet5_Multiple_Regression!A118+Sheet5_Multiple_Regression!$J$8*Sheet5_Multiple_Regression!B118+Sheet5_Multiple_Regression!$J$9*Sheet5_Multiple_Regression!C118+Sheet5_Multiple_Regression!$J$10*Sheet5_Multiple_Regression!D118+Sheet5_Multiple_Regression!$J$11*Sheet5_Multiple_Regression!E118+Sheet5_Multiple_Regression!$J$12*Sheet5_Multiple_Regression!F118+Sheet5_Multiple_Regression!$J$13*Sheet5_Multiple_Regression!G118</f>
        <v>740871.833666865</v>
      </c>
      <c r="G117" s="16" t="n">
        <f aca="false">E117-F117</f>
        <v>37526.1363331351</v>
      </c>
    </row>
    <row r="118" customFormat="false" ht="15" hidden="false" customHeight="false" outlineLevel="0" collapsed="false">
      <c r="A118" s="6" t="str">
        <f aca="false">Sheet2_Cleaned_Data!A118</f>
        <v>STR-1029</v>
      </c>
      <c r="B118" s="6" t="str">
        <f aca="false">Sheet2_Cleaned_Data!B118</f>
        <v>2025-02-01</v>
      </c>
      <c r="C118" s="6" t="str">
        <f aca="false">Sheet2_Cleaned_Data!C118</f>
        <v>West</v>
      </c>
      <c r="D118" s="6" t="str">
        <f aca="false">Sheet2_Cleaned_Data!D118</f>
        <v>Mall</v>
      </c>
      <c r="E118" s="15" t="n">
        <f aca="false">Sheet2_Cleaned_Data!M118</f>
        <v>873380.02</v>
      </c>
      <c r="F118" s="16" t="n">
        <f aca="false">Sheet5_Multiple_Regression!$J$6+Sheet5_Multiple_Regression!$J$7*Sheet5_Multiple_Regression!A119+Sheet5_Multiple_Regression!$J$8*Sheet5_Multiple_Regression!B119+Sheet5_Multiple_Regression!$J$9*Sheet5_Multiple_Regression!C119+Sheet5_Multiple_Regression!$J$10*Sheet5_Multiple_Regression!D119+Sheet5_Multiple_Regression!$J$11*Sheet5_Multiple_Regression!E119+Sheet5_Multiple_Regression!$J$12*Sheet5_Multiple_Regression!F119+Sheet5_Multiple_Regression!$J$13*Sheet5_Multiple_Regression!G119</f>
        <v>835879.607791865</v>
      </c>
      <c r="G118" s="16" t="n">
        <f aca="false">E118-F118</f>
        <v>37500.4122081354</v>
      </c>
    </row>
    <row r="119" customFormat="false" ht="15" hidden="false" customHeight="false" outlineLevel="0" collapsed="false">
      <c r="A119" s="6" t="str">
        <f aca="false">Sheet2_Cleaned_Data!A119</f>
        <v>STR-1029</v>
      </c>
      <c r="B119" s="6" t="str">
        <f aca="false">Sheet2_Cleaned_Data!B119</f>
        <v>2025-03-01</v>
      </c>
      <c r="C119" s="6" t="str">
        <f aca="false">Sheet2_Cleaned_Data!C119</f>
        <v>West</v>
      </c>
      <c r="D119" s="6" t="str">
        <f aca="false">Sheet2_Cleaned_Data!D119</f>
        <v>Mall</v>
      </c>
      <c r="E119" s="15" t="n">
        <f aca="false">Sheet2_Cleaned_Data!M119</f>
        <v>697287.9</v>
      </c>
      <c r="F119" s="16" t="n">
        <f aca="false">Sheet5_Multiple_Regression!$J$6+Sheet5_Multiple_Regression!$J$7*Sheet5_Multiple_Regression!A120+Sheet5_Multiple_Regression!$J$8*Sheet5_Multiple_Regression!B120+Sheet5_Multiple_Regression!$J$9*Sheet5_Multiple_Regression!C120+Sheet5_Multiple_Regression!$J$10*Sheet5_Multiple_Regression!D120+Sheet5_Multiple_Regression!$J$11*Sheet5_Multiple_Regression!E120+Sheet5_Multiple_Regression!$J$12*Sheet5_Multiple_Regression!F120+Sheet5_Multiple_Regression!$J$13*Sheet5_Multiple_Regression!G120</f>
        <v>754005.138543863</v>
      </c>
      <c r="G119" s="16" t="n">
        <f aca="false">E119-F119</f>
        <v>-56717.2385438629</v>
      </c>
    </row>
    <row r="120" customFormat="false" ht="15" hidden="false" customHeight="false" outlineLevel="0" collapsed="false">
      <c r="A120" s="6" t="str">
        <f aca="false">Sheet2_Cleaned_Data!A120</f>
        <v>STR-1029</v>
      </c>
      <c r="B120" s="6" t="str">
        <f aca="false">Sheet2_Cleaned_Data!B120</f>
        <v>2025-04-01</v>
      </c>
      <c r="C120" s="6" t="str">
        <f aca="false">Sheet2_Cleaned_Data!C120</f>
        <v>West</v>
      </c>
      <c r="D120" s="6" t="str">
        <f aca="false">Sheet2_Cleaned_Data!D120</f>
        <v>Mall</v>
      </c>
      <c r="E120" s="15" t="n">
        <f aca="false">Sheet2_Cleaned_Data!M120</f>
        <v>718074.79</v>
      </c>
      <c r="F120" s="16" t="n">
        <f aca="false">Sheet5_Multiple_Regression!$J$6+Sheet5_Multiple_Regression!$J$7*Sheet5_Multiple_Regression!A121+Sheet5_Multiple_Regression!$J$8*Sheet5_Multiple_Regression!B121+Sheet5_Multiple_Regression!$J$9*Sheet5_Multiple_Regression!C121+Sheet5_Multiple_Regression!$J$10*Sheet5_Multiple_Regression!D121+Sheet5_Multiple_Regression!$J$11*Sheet5_Multiple_Regression!E121+Sheet5_Multiple_Regression!$J$12*Sheet5_Multiple_Regression!F121+Sheet5_Multiple_Regression!$J$13*Sheet5_Multiple_Regression!G121</f>
        <v>759421.593671565</v>
      </c>
      <c r="G120" s="16" t="n">
        <f aca="false">E120-F120</f>
        <v>-41346.8036715646</v>
      </c>
    </row>
    <row r="121" customFormat="false" ht="15" hidden="false" customHeight="false" outlineLevel="0" collapsed="false">
      <c r="A121" s="6" t="str">
        <f aca="false">Sheet2_Cleaned_Data!A121</f>
        <v>STR-1030</v>
      </c>
      <c r="B121" s="6" t="str">
        <f aca="false">Sheet2_Cleaned_Data!B121</f>
        <v>2025-01-01</v>
      </c>
      <c r="C121" s="6" t="str">
        <f aca="false">Sheet2_Cleaned_Data!C121</f>
        <v>West</v>
      </c>
      <c r="D121" s="6" t="str">
        <f aca="false">Sheet2_Cleaned_Data!D121</f>
        <v>Residential</v>
      </c>
      <c r="E121" s="15" t="n">
        <f aca="false">Sheet2_Cleaned_Data!M121</f>
        <v>714942.43</v>
      </c>
      <c r="F121" s="16" t="n">
        <f aca="false">Sheet5_Multiple_Regression!$J$6+Sheet5_Multiple_Regression!$J$7*Sheet5_Multiple_Regression!A122+Sheet5_Multiple_Regression!$J$8*Sheet5_Multiple_Regression!B122+Sheet5_Multiple_Regression!$J$9*Sheet5_Multiple_Regression!C122+Sheet5_Multiple_Regression!$J$10*Sheet5_Multiple_Regression!D122+Sheet5_Multiple_Regression!$J$11*Sheet5_Multiple_Regression!E122+Sheet5_Multiple_Regression!$J$12*Sheet5_Multiple_Regression!F122+Sheet5_Multiple_Regression!$J$13*Sheet5_Multiple_Regression!G122</f>
        <v>696455.688475059</v>
      </c>
      <c r="G121" s="16" t="n">
        <f aca="false">E121-F121</f>
        <v>18486.7415249407</v>
      </c>
    </row>
    <row r="122" customFormat="false" ht="15" hidden="false" customHeight="false" outlineLevel="0" collapsed="false">
      <c r="A122" s="6" t="str">
        <f aca="false">Sheet2_Cleaned_Data!A122</f>
        <v>STR-1030</v>
      </c>
      <c r="B122" s="6" t="str">
        <f aca="false">Sheet2_Cleaned_Data!B122</f>
        <v>2025-02-01</v>
      </c>
      <c r="C122" s="6" t="str">
        <f aca="false">Sheet2_Cleaned_Data!C122</f>
        <v>West</v>
      </c>
      <c r="D122" s="6" t="str">
        <f aca="false">Sheet2_Cleaned_Data!D122</f>
        <v>Residential</v>
      </c>
      <c r="E122" s="15" t="n">
        <f aca="false">Sheet2_Cleaned_Data!M122</f>
        <v>820519.04</v>
      </c>
      <c r="F122" s="16" t="n">
        <f aca="false">Sheet5_Multiple_Regression!$J$6+Sheet5_Multiple_Regression!$J$7*Sheet5_Multiple_Regression!A123+Sheet5_Multiple_Regression!$J$8*Sheet5_Multiple_Regression!B123+Sheet5_Multiple_Regression!$J$9*Sheet5_Multiple_Regression!C123+Sheet5_Multiple_Regression!$J$10*Sheet5_Multiple_Regression!D123+Sheet5_Multiple_Regression!$J$11*Sheet5_Multiple_Regression!E123+Sheet5_Multiple_Regression!$J$12*Sheet5_Multiple_Regression!F123+Sheet5_Multiple_Regression!$J$13*Sheet5_Multiple_Regression!G123</f>
        <v>714619.59420683</v>
      </c>
      <c r="G122" s="16" t="n">
        <f aca="false">E122-F122</f>
        <v>105899.44579317</v>
      </c>
    </row>
    <row r="123" customFormat="false" ht="15" hidden="false" customHeight="false" outlineLevel="0" collapsed="false">
      <c r="A123" s="6" t="str">
        <f aca="false">Sheet2_Cleaned_Data!A123</f>
        <v>STR-1030</v>
      </c>
      <c r="B123" s="6" t="str">
        <f aca="false">Sheet2_Cleaned_Data!B123</f>
        <v>2025-03-01</v>
      </c>
      <c r="C123" s="6" t="str">
        <f aca="false">Sheet2_Cleaned_Data!C123</f>
        <v>West</v>
      </c>
      <c r="D123" s="6" t="str">
        <f aca="false">Sheet2_Cleaned_Data!D123</f>
        <v>Residential</v>
      </c>
      <c r="E123" s="15" t="n">
        <f aca="false">Sheet2_Cleaned_Data!M123</f>
        <v>684217.32</v>
      </c>
      <c r="F123" s="16" t="n">
        <f aca="false">Sheet5_Multiple_Regression!$J$6+Sheet5_Multiple_Regression!$J$7*Sheet5_Multiple_Regression!A124+Sheet5_Multiple_Regression!$J$8*Sheet5_Multiple_Regression!B124+Sheet5_Multiple_Regression!$J$9*Sheet5_Multiple_Regression!C124+Sheet5_Multiple_Regression!$J$10*Sheet5_Multiple_Regression!D124+Sheet5_Multiple_Regression!$J$11*Sheet5_Multiple_Regression!E124+Sheet5_Multiple_Regression!$J$12*Sheet5_Multiple_Regression!F124+Sheet5_Multiple_Regression!$J$13*Sheet5_Multiple_Regression!G124</f>
        <v>739003.421991175</v>
      </c>
      <c r="G123" s="16" t="n">
        <f aca="false">E123-F123</f>
        <v>-54786.101991175</v>
      </c>
    </row>
    <row r="124" customFormat="false" ht="15" hidden="false" customHeight="false" outlineLevel="0" collapsed="false">
      <c r="A124" s="6" t="str">
        <f aca="false">Sheet2_Cleaned_Data!A124</f>
        <v>STR-1030</v>
      </c>
      <c r="B124" s="6" t="str">
        <f aca="false">Sheet2_Cleaned_Data!B124</f>
        <v>2025-04-01</v>
      </c>
      <c r="C124" s="6" t="str">
        <f aca="false">Sheet2_Cleaned_Data!C124</f>
        <v>West</v>
      </c>
      <c r="D124" s="6" t="str">
        <f aca="false">Sheet2_Cleaned_Data!D124</f>
        <v>Residential</v>
      </c>
      <c r="E124" s="15" t="n">
        <f aca="false">Sheet2_Cleaned_Data!M124</f>
        <v>735480.19</v>
      </c>
      <c r="F124" s="16" t="n">
        <f aca="false">Sheet5_Multiple_Regression!$J$6+Sheet5_Multiple_Regression!$J$7*Sheet5_Multiple_Regression!A125+Sheet5_Multiple_Regression!$J$8*Sheet5_Multiple_Regression!B125+Sheet5_Multiple_Regression!$J$9*Sheet5_Multiple_Regression!C125+Sheet5_Multiple_Regression!$J$10*Sheet5_Multiple_Regression!D125+Sheet5_Multiple_Regression!$J$11*Sheet5_Multiple_Regression!E125+Sheet5_Multiple_Regression!$J$12*Sheet5_Multiple_Regression!F125+Sheet5_Multiple_Regression!$J$13*Sheet5_Multiple_Regression!G125</f>
        <v>721069.548172746</v>
      </c>
      <c r="G124" s="16" t="n">
        <f aca="false">E124-F124</f>
        <v>14410.6418272544</v>
      </c>
    </row>
    <row r="125" customFormat="false" ht="15" hidden="false" customHeight="false" outlineLevel="0" collapsed="false">
      <c r="A125" s="6" t="str">
        <f aca="false">Sheet2_Cleaned_Data!A125</f>
        <v>STR-1031</v>
      </c>
      <c r="B125" s="6" t="str">
        <f aca="false">Sheet2_Cleaned_Data!B125</f>
        <v>2025-01-01</v>
      </c>
      <c r="C125" s="6" t="str">
        <f aca="false">Sheet2_Cleaned_Data!C125</f>
        <v>North</v>
      </c>
      <c r="D125" s="6" t="str">
        <f aca="false">Sheet2_Cleaned_Data!D125</f>
        <v>High Street</v>
      </c>
      <c r="E125" s="15" t="n">
        <f aca="false">Sheet2_Cleaned_Data!M125</f>
        <v>509484.81</v>
      </c>
      <c r="F125" s="16" t="n">
        <f aca="false">Sheet5_Multiple_Regression!$J$6+Sheet5_Multiple_Regression!$J$7*Sheet5_Multiple_Regression!A126+Sheet5_Multiple_Regression!$J$8*Sheet5_Multiple_Regression!B126+Sheet5_Multiple_Regression!$J$9*Sheet5_Multiple_Regression!C126+Sheet5_Multiple_Regression!$J$10*Sheet5_Multiple_Regression!D126+Sheet5_Multiple_Regression!$J$11*Sheet5_Multiple_Regression!E126+Sheet5_Multiple_Regression!$J$12*Sheet5_Multiple_Regression!F126+Sheet5_Multiple_Regression!$J$13*Sheet5_Multiple_Regression!G126</f>
        <v>561697.441228952</v>
      </c>
      <c r="G125" s="16" t="n">
        <f aca="false">E125-F125</f>
        <v>-52212.6312289521</v>
      </c>
    </row>
    <row r="126" customFormat="false" ht="15" hidden="false" customHeight="false" outlineLevel="0" collapsed="false">
      <c r="A126" s="6" t="str">
        <f aca="false">Sheet2_Cleaned_Data!A126</f>
        <v>STR-1031</v>
      </c>
      <c r="B126" s="6" t="str">
        <f aca="false">Sheet2_Cleaned_Data!B126</f>
        <v>2025-02-01</v>
      </c>
      <c r="C126" s="6" t="str">
        <f aca="false">Sheet2_Cleaned_Data!C126</f>
        <v>North</v>
      </c>
      <c r="D126" s="6" t="str">
        <f aca="false">Sheet2_Cleaned_Data!D126</f>
        <v>High Street</v>
      </c>
      <c r="E126" s="15" t="n">
        <f aca="false">Sheet2_Cleaned_Data!M126</f>
        <v>654317.09</v>
      </c>
      <c r="F126" s="16" t="n">
        <f aca="false">Sheet5_Multiple_Regression!$J$6+Sheet5_Multiple_Regression!$J$7*Sheet5_Multiple_Regression!A127+Sheet5_Multiple_Regression!$J$8*Sheet5_Multiple_Regression!B127+Sheet5_Multiple_Regression!$J$9*Sheet5_Multiple_Regression!C127+Sheet5_Multiple_Regression!$J$10*Sheet5_Multiple_Regression!D127+Sheet5_Multiple_Regression!$J$11*Sheet5_Multiple_Regression!E127+Sheet5_Multiple_Regression!$J$12*Sheet5_Multiple_Regression!F127+Sheet5_Multiple_Regression!$J$13*Sheet5_Multiple_Regression!G127</f>
        <v>626364.248397893</v>
      </c>
      <c r="G126" s="16" t="n">
        <f aca="false">E126-F126</f>
        <v>27952.8416021069</v>
      </c>
    </row>
    <row r="127" customFormat="false" ht="15" hidden="false" customHeight="false" outlineLevel="0" collapsed="false">
      <c r="A127" s="6" t="str">
        <f aca="false">Sheet2_Cleaned_Data!A127</f>
        <v>STR-1031</v>
      </c>
      <c r="B127" s="6" t="str">
        <f aca="false">Sheet2_Cleaned_Data!B127</f>
        <v>2025-03-01</v>
      </c>
      <c r="C127" s="6" t="str">
        <f aca="false">Sheet2_Cleaned_Data!C127</f>
        <v>North</v>
      </c>
      <c r="D127" s="6" t="str">
        <f aca="false">Sheet2_Cleaned_Data!D127</f>
        <v>High Street</v>
      </c>
      <c r="E127" s="15" t="n">
        <f aca="false">Sheet2_Cleaned_Data!M127</f>
        <v>557487.26</v>
      </c>
      <c r="F127" s="16" t="n">
        <f aca="false">Sheet5_Multiple_Regression!$J$6+Sheet5_Multiple_Regression!$J$7*Sheet5_Multiple_Regression!A128+Sheet5_Multiple_Regression!$J$8*Sheet5_Multiple_Regression!B128+Sheet5_Multiple_Regression!$J$9*Sheet5_Multiple_Regression!C128+Sheet5_Multiple_Regression!$J$10*Sheet5_Multiple_Regression!D128+Sheet5_Multiple_Regression!$J$11*Sheet5_Multiple_Regression!E128+Sheet5_Multiple_Regression!$J$12*Sheet5_Multiple_Regression!F128+Sheet5_Multiple_Regression!$J$13*Sheet5_Multiple_Regression!G128</f>
        <v>595353.594013971</v>
      </c>
      <c r="G127" s="16" t="n">
        <f aca="false">E127-F127</f>
        <v>-37866.3340139712</v>
      </c>
    </row>
    <row r="128" customFormat="false" ht="15" hidden="false" customHeight="false" outlineLevel="0" collapsed="false">
      <c r="A128" s="6" t="str">
        <f aca="false">Sheet2_Cleaned_Data!A128</f>
        <v>STR-1031</v>
      </c>
      <c r="B128" s="6" t="str">
        <f aca="false">Sheet2_Cleaned_Data!B128</f>
        <v>2025-04-01</v>
      </c>
      <c r="C128" s="6" t="str">
        <f aca="false">Sheet2_Cleaned_Data!C128</f>
        <v>North</v>
      </c>
      <c r="D128" s="6" t="str">
        <f aca="false">Sheet2_Cleaned_Data!D128</f>
        <v>High Street</v>
      </c>
      <c r="E128" s="15" t="n">
        <f aca="false">Sheet2_Cleaned_Data!M128</f>
        <v>441275.42</v>
      </c>
      <c r="F128" s="16" t="n">
        <f aca="false">Sheet5_Multiple_Regression!$J$6+Sheet5_Multiple_Regression!$J$7*Sheet5_Multiple_Regression!A129+Sheet5_Multiple_Regression!$J$8*Sheet5_Multiple_Regression!B129+Sheet5_Multiple_Regression!$J$9*Sheet5_Multiple_Regression!C129+Sheet5_Multiple_Regression!$J$10*Sheet5_Multiple_Regression!D129+Sheet5_Multiple_Regression!$J$11*Sheet5_Multiple_Regression!E129+Sheet5_Multiple_Regression!$J$12*Sheet5_Multiple_Regression!F129+Sheet5_Multiple_Regression!$J$13*Sheet5_Multiple_Regression!G129</f>
        <v>504086.399741007</v>
      </c>
      <c r="G128" s="16" t="n">
        <f aca="false">E128-F128</f>
        <v>-62810.9797410069</v>
      </c>
    </row>
    <row r="129" customFormat="false" ht="15" hidden="false" customHeight="false" outlineLevel="0" collapsed="false">
      <c r="A129" s="6" t="str">
        <f aca="false">Sheet2_Cleaned_Data!A129</f>
        <v>STR-1032</v>
      </c>
      <c r="B129" s="6" t="str">
        <f aca="false">Sheet2_Cleaned_Data!B129</f>
        <v>2025-01-01</v>
      </c>
      <c r="C129" s="6" t="str">
        <f aca="false">Sheet2_Cleaned_Data!C129</f>
        <v>South</v>
      </c>
      <c r="D129" s="6" t="str">
        <f aca="false">Sheet2_Cleaned_Data!D129</f>
        <v>High Street</v>
      </c>
      <c r="E129" s="15" t="n">
        <f aca="false">Sheet2_Cleaned_Data!M129</f>
        <v>914544.17</v>
      </c>
      <c r="F129" s="16" t="n">
        <f aca="false">Sheet5_Multiple_Regression!$J$6+Sheet5_Multiple_Regression!$J$7*Sheet5_Multiple_Regression!A130+Sheet5_Multiple_Regression!$J$8*Sheet5_Multiple_Regression!B130+Sheet5_Multiple_Regression!$J$9*Sheet5_Multiple_Regression!C130+Sheet5_Multiple_Regression!$J$10*Sheet5_Multiple_Regression!D130+Sheet5_Multiple_Regression!$J$11*Sheet5_Multiple_Regression!E130+Sheet5_Multiple_Regression!$J$12*Sheet5_Multiple_Regression!F130+Sheet5_Multiple_Regression!$J$13*Sheet5_Multiple_Regression!G130</f>
        <v>815772.728979466</v>
      </c>
      <c r="G129" s="16" t="n">
        <f aca="false">E129-F129</f>
        <v>98771.4410205341</v>
      </c>
    </row>
    <row r="130" customFormat="false" ht="15" hidden="false" customHeight="false" outlineLevel="0" collapsed="false">
      <c r="A130" s="6" t="str">
        <f aca="false">Sheet2_Cleaned_Data!A130</f>
        <v>STR-1032</v>
      </c>
      <c r="B130" s="6" t="str">
        <f aca="false">Sheet2_Cleaned_Data!B130</f>
        <v>2025-02-01</v>
      </c>
      <c r="C130" s="6" t="str">
        <f aca="false">Sheet2_Cleaned_Data!C130</f>
        <v>South</v>
      </c>
      <c r="D130" s="6" t="str">
        <f aca="false">Sheet2_Cleaned_Data!D130</f>
        <v>High Street</v>
      </c>
      <c r="E130" s="15" t="n">
        <f aca="false">Sheet2_Cleaned_Data!M130</f>
        <v>842439.67</v>
      </c>
      <c r="F130" s="16" t="n">
        <f aca="false">Sheet5_Multiple_Regression!$J$6+Sheet5_Multiple_Regression!$J$7*Sheet5_Multiple_Regression!A131+Sheet5_Multiple_Regression!$J$8*Sheet5_Multiple_Regression!B131+Sheet5_Multiple_Regression!$J$9*Sheet5_Multiple_Regression!C131+Sheet5_Multiple_Regression!$J$10*Sheet5_Multiple_Regression!D131+Sheet5_Multiple_Regression!$J$11*Sheet5_Multiple_Regression!E131+Sheet5_Multiple_Regression!$J$12*Sheet5_Multiple_Regression!F131+Sheet5_Multiple_Regression!$J$13*Sheet5_Multiple_Regression!G131</f>
        <v>846580.384692373</v>
      </c>
      <c r="G130" s="16" t="n">
        <f aca="false">E130-F130</f>
        <v>-4140.71469237318</v>
      </c>
    </row>
    <row r="131" customFormat="false" ht="15" hidden="false" customHeight="false" outlineLevel="0" collapsed="false">
      <c r="A131" s="6" t="str">
        <f aca="false">Sheet2_Cleaned_Data!A131</f>
        <v>STR-1032</v>
      </c>
      <c r="B131" s="6" t="str">
        <f aca="false">Sheet2_Cleaned_Data!B131</f>
        <v>2025-03-01</v>
      </c>
      <c r="C131" s="6" t="str">
        <f aca="false">Sheet2_Cleaned_Data!C131</f>
        <v>South</v>
      </c>
      <c r="D131" s="6" t="str">
        <f aca="false">Sheet2_Cleaned_Data!D131</f>
        <v>High Street</v>
      </c>
      <c r="E131" s="15" t="n">
        <f aca="false">Sheet2_Cleaned_Data!M131</f>
        <v>842157.92</v>
      </c>
      <c r="F131" s="16" t="n">
        <f aca="false">Sheet5_Multiple_Regression!$J$6+Sheet5_Multiple_Regression!$J$7*Sheet5_Multiple_Regression!A132+Sheet5_Multiple_Regression!$J$8*Sheet5_Multiple_Regression!B132+Sheet5_Multiple_Regression!$J$9*Sheet5_Multiple_Regression!C132+Sheet5_Multiple_Regression!$J$10*Sheet5_Multiple_Regression!D132+Sheet5_Multiple_Regression!$J$11*Sheet5_Multiple_Regression!E132+Sheet5_Multiple_Regression!$J$12*Sheet5_Multiple_Regression!F132+Sheet5_Multiple_Regression!$J$13*Sheet5_Multiple_Regression!G132</f>
        <v>777773.489974991</v>
      </c>
      <c r="G131" s="16" t="n">
        <f aca="false">E131-F131</f>
        <v>64384.4300250086</v>
      </c>
    </row>
    <row r="132" customFormat="false" ht="15" hidden="false" customHeight="false" outlineLevel="0" collapsed="false">
      <c r="A132" s="6" t="str">
        <f aca="false">Sheet2_Cleaned_Data!A132</f>
        <v>STR-1032</v>
      </c>
      <c r="B132" s="6" t="str">
        <f aca="false">Sheet2_Cleaned_Data!B132</f>
        <v>2025-04-01</v>
      </c>
      <c r="C132" s="6" t="str">
        <f aca="false">Sheet2_Cleaned_Data!C132</f>
        <v>South</v>
      </c>
      <c r="D132" s="6" t="str">
        <f aca="false">Sheet2_Cleaned_Data!D132</f>
        <v>High Street</v>
      </c>
      <c r="E132" s="15" t="n">
        <f aca="false">Sheet2_Cleaned_Data!M132</f>
        <v>697155.3</v>
      </c>
      <c r="F132" s="16" t="n">
        <f aca="false">Sheet5_Multiple_Regression!$J$6+Sheet5_Multiple_Regression!$J$7*Sheet5_Multiple_Regression!A133+Sheet5_Multiple_Regression!$J$8*Sheet5_Multiple_Regression!B133+Sheet5_Multiple_Regression!$J$9*Sheet5_Multiple_Regression!C133+Sheet5_Multiple_Regression!$J$10*Sheet5_Multiple_Regression!D133+Sheet5_Multiple_Regression!$J$11*Sheet5_Multiple_Regression!E133+Sheet5_Multiple_Regression!$J$12*Sheet5_Multiple_Regression!F133+Sheet5_Multiple_Regression!$J$13*Sheet5_Multiple_Regression!G133</f>
        <v>696698.622294965</v>
      </c>
      <c r="G132" s="16" t="n">
        <f aca="false">E132-F132</f>
        <v>456.677705034614</v>
      </c>
    </row>
    <row r="133" customFormat="false" ht="15" hidden="false" customHeight="false" outlineLevel="0" collapsed="false">
      <c r="A133" s="6" t="str">
        <f aca="false">Sheet2_Cleaned_Data!A133</f>
        <v>STR-1033</v>
      </c>
      <c r="B133" s="6" t="str">
        <f aca="false">Sheet2_Cleaned_Data!B133</f>
        <v>2025-01-01</v>
      </c>
      <c r="C133" s="6" t="str">
        <f aca="false">Sheet2_Cleaned_Data!C133</f>
        <v>East</v>
      </c>
      <c r="D133" s="6" t="str">
        <f aca="false">Sheet2_Cleaned_Data!D133</f>
        <v>High Street</v>
      </c>
      <c r="E133" s="15" t="n">
        <f aca="false">Sheet2_Cleaned_Data!M133</f>
        <v>849018.3</v>
      </c>
      <c r="F133" s="16" t="n">
        <f aca="false">Sheet5_Multiple_Regression!$J$6+Sheet5_Multiple_Regression!$J$7*Sheet5_Multiple_Regression!A134+Sheet5_Multiple_Regression!$J$8*Sheet5_Multiple_Regression!B134+Sheet5_Multiple_Regression!$J$9*Sheet5_Multiple_Regression!C134+Sheet5_Multiple_Regression!$J$10*Sheet5_Multiple_Regression!D134+Sheet5_Multiple_Regression!$J$11*Sheet5_Multiple_Regression!E134+Sheet5_Multiple_Regression!$J$12*Sheet5_Multiple_Regression!F134+Sheet5_Multiple_Regression!$J$13*Sheet5_Multiple_Regression!G134</f>
        <v>828215.649883952</v>
      </c>
      <c r="G133" s="16" t="n">
        <f aca="false">E133-F133</f>
        <v>20802.6501160485</v>
      </c>
    </row>
    <row r="134" customFormat="false" ht="15" hidden="false" customHeight="false" outlineLevel="0" collapsed="false">
      <c r="A134" s="6" t="str">
        <f aca="false">Sheet2_Cleaned_Data!A134</f>
        <v>STR-1033</v>
      </c>
      <c r="B134" s="6" t="str">
        <f aca="false">Sheet2_Cleaned_Data!B134</f>
        <v>2025-02-01</v>
      </c>
      <c r="C134" s="6" t="str">
        <f aca="false">Sheet2_Cleaned_Data!C134</f>
        <v>East</v>
      </c>
      <c r="D134" s="6" t="str">
        <f aca="false">Sheet2_Cleaned_Data!D134</f>
        <v>High Street</v>
      </c>
      <c r="E134" s="15" t="n">
        <f aca="false">Sheet2_Cleaned_Data!M134</f>
        <v>801830.35</v>
      </c>
      <c r="F134" s="16" t="n">
        <f aca="false">Sheet5_Multiple_Regression!$J$6+Sheet5_Multiple_Regression!$J$7*Sheet5_Multiple_Regression!A135+Sheet5_Multiple_Regression!$J$8*Sheet5_Multiple_Regression!B135+Sheet5_Multiple_Regression!$J$9*Sheet5_Multiple_Regression!C135+Sheet5_Multiple_Regression!$J$10*Sheet5_Multiple_Regression!D135+Sheet5_Multiple_Regression!$J$11*Sheet5_Multiple_Regression!E135+Sheet5_Multiple_Regression!$J$12*Sheet5_Multiple_Regression!F135+Sheet5_Multiple_Regression!$J$13*Sheet5_Multiple_Regression!G135</f>
        <v>804854.621952709</v>
      </c>
      <c r="G134" s="16" t="n">
        <f aca="false">E134-F134</f>
        <v>-3024.2719527086</v>
      </c>
    </row>
    <row r="135" customFormat="false" ht="15" hidden="false" customHeight="false" outlineLevel="0" collapsed="false">
      <c r="A135" s="6" t="str">
        <f aca="false">Sheet2_Cleaned_Data!A135</f>
        <v>STR-1033</v>
      </c>
      <c r="B135" s="6" t="str">
        <f aca="false">Sheet2_Cleaned_Data!B135</f>
        <v>2025-03-01</v>
      </c>
      <c r="C135" s="6" t="str">
        <f aca="false">Sheet2_Cleaned_Data!C135</f>
        <v>East</v>
      </c>
      <c r="D135" s="6" t="str">
        <f aca="false">Sheet2_Cleaned_Data!D135</f>
        <v>High Street</v>
      </c>
      <c r="E135" s="15" t="n">
        <f aca="false">Sheet2_Cleaned_Data!M135</f>
        <v>725235.28</v>
      </c>
      <c r="F135" s="16" t="n">
        <f aca="false">Sheet5_Multiple_Regression!$J$6+Sheet5_Multiple_Regression!$J$7*Sheet5_Multiple_Regression!A136+Sheet5_Multiple_Regression!$J$8*Sheet5_Multiple_Regression!B136+Sheet5_Multiple_Regression!$J$9*Sheet5_Multiple_Regression!C136+Sheet5_Multiple_Regression!$J$10*Sheet5_Multiple_Regression!D136+Sheet5_Multiple_Regression!$J$11*Sheet5_Multiple_Regression!E136+Sheet5_Multiple_Regression!$J$12*Sheet5_Multiple_Regression!F136+Sheet5_Multiple_Regression!$J$13*Sheet5_Multiple_Regression!G136</f>
        <v>792891.137731979</v>
      </c>
      <c r="G135" s="16" t="n">
        <f aca="false">E135-F135</f>
        <v>-67655.8577319789</v>
      </c>
    </row>
    <row r="136" customFormat="false" ht="15" hidden="false" customHeight="false" outlineLevel="0" collapsed="false">
      <c r="A136" s="6" t="str">
        <f aca="false">Sheet2_Cleaned_Data!A136</f>
        <v>STR-1033</v>
      </c>
      <c r="B136" s="6" t="str">
        <f aca="false">Sheet2_Cleaned_Data!B136</f>
        <v>2025-04-01</v>
      </c>
      <c r="C136" s="6" t="str">
        <f aca="false">Sheet2_Cleaned_Data!C136</f>
        <v>East</v>
      </c>
      <c r="D136" s="6" t="str">
        <f aca="false">Sheet2_Cleaned_Data!D136</f>
        <v>High Street</v>
      </c>
      <c r="E136" s="15" t="n">
        <f aca="false">Sheet2_Cleaned_Data!M136</f>
        <v>811452.72</v>
      </c>
      <c r="F136" s="16" t="n">
        <f aca="false">Sheet5_Multiple_Regression!$J$6+Sheet5_Multiple_Regression!$J$7*Sheet5_Multiple_Regression!A137+Sheet5_Multiple_Regression!$J$8*Sheet5_Multiple_Regression!B137+Sheet5_Multiple_Regression!$J$9*Sheet5_Multiple_Regression!C137+Sheet5_Multiple_Regression!$J$10*Sheet5_Multiple_Regression!D137+Sheet5_Multiple_Regression!$J$11*Sheet5_Multiple_Regression!E137+Sheet5_Multiple_Regression!$J$12*Sheet5_Multiple_Regression!F137+Sheet5_Multiple_Regression!$J$13*Sheet5_Multiple_Regression!G137</f>
        <v>829012.587845807</v>
      </c>
      <c r="G136" s="16" t="n">
        <f aca="false">E136-F136</f>
        <v>-17559.8678458068</v>
      </c>
    </row>
    <row r="137" customFormat="false" ht="15" hidden="false" customHeight="false" outlineLevel="0" collapsed="false">
      <c r="A137" s="6" t="str">
        <f aca="false">Sheet2_Cleaned_Data!A137</f>
        <v>STR-1034</v>
      </c>
      <c r="B137" s="6" t="str">
        <f aca="false">Sheet2_Cleaned_Data!B137</f>
        <v>2025-01-01</v>
      </c>
      <c r="C137" s="6" t="str">
        <f aca="false">Sheet2_Cleaned_Data!C137</f>
        <v>North</v>
      </c>
      <c r="D137" s="6" t="str">
        <f aca="false">Sheet2_Cleaned_Data!D137</f>
        <v>High Street</v>
      </c>
      <c r="E137" s="15" t="n">
        <f aca="false">Sheet2_Cleaned_Data!M137</f>
        <v>527300.13</v>
      </c>
      <c r="F137" s="16" t="n">
        <f aca="false">Sheet5_Multiple_Regression!$J$6+Sheet5_Multiple_Regression!$J$7*Sheet5_Multiple_Regression!A138+Sheet5_Multiple_Regression!$J$8*Sheet5_Multiple_Regression!B138+Sheet5_Multiple_Regression!$J$9*Sheet5_Multiple_Regression!C138+Sheet5_Multiple_Regression!$J$10*Sheet5_Multiple_Regression!D138+Sheet5_Multiple_Regression!$J$11*Sheet5_Multiple_Regression!E138+Sheet5_Multiple_Regression!$J$12*Sheet5_Multiple_Regression!F138+Sheet5_Multiple_Regression!$J$13*Sheet5_Multiple_Regression!G138</f>
        <v>580411.297857149</v>
      </c>
      <c r="G137" s="16" t="n">
        <f aca="false">E137-F137</f>
        <v>-53111.1678571494</v>
      </c>
    </row>
    <row r="138" customFormat="false" ht="15" hidden="false" customHeight="false" outlineLevel="0" collapsed="false">
      <c r="A138" s="6" t="str">
        <f aca="false">Sheet2_Cleaned_Data!A138</f>
        <v>STR-1034</v>
      </c>
      <c r="B138" s="6" t="str">
        <f aca="false">Sheet2_Cleaned_Data!B138</f>
        <v>2025-02-01</v>
      </c>
      <c r="C138" s="6" t="str">
        <f aca="false">Sheet2_Cleaned_Data!C138</f>
        <v>North</v>
      </c>
      <c r="D138" s="6" t="str">
        <f aca="false">Sheet2_Cleaned_Data!D138</f>
        <v>High Street</v>
      </c>
      <c r="E138" s="15" t="n">
        <f aca="false">Sheet2_Cleaned_Data!M138</f>
        <v>400831.65</v>
      </c>
      <c r="F138" s="16" t="n">
        <f aca="false">Sheet5_Multiple_Regression!$J$6+Sheet5_Multiple_Regression!$J$7*Sheet5_Multiple_Regression!A139+Sheet5_Multiple_Regression!$J$8*Sheet5_Multiple_Regression!B139+Sheet5_Multiple_Regression!$J$9*Sheet5_Multiple_Regression!C139+Sheet5_Multiple_Regression!$J$10*Sheet5_Multiple_Regression!D139+Sheet5_Multiple_Regression!$J$11*Sheet5_Multiple_Regression!E139+Sheet5_Multiple_Regression!$J$12*Sheet5_Multiple_Regression!F139+Sheet5_Multiple_Regression!$J$13*Sheet5_Multiple_Regression!G139</f>
        <v>455553.711570412</v>
      </c>
      <c r="G138" s="16" t="n">
        <f aca="false">E138-F138</f>
        <v>-54722.0615704116</v>
      </c>
    </row>
    <row r="139" customFormat="false" ht="15" hidden="false" customHeight="false" outlineLevel="0" collapsed="false">
      <c r="A139" s="6" t="str">
        <f aca="false">Sheet2_Cleaned_Data!A139</f>
        <v>STR-1034</v>
      </c>
      <c r="B139" s="6" t="str">
        <f aca="false">Sheet2_Cleaned_Data!B139</f>
        <v>2025-03-01</v>
      </c>
      <c r="C139" s="6" t="str">
        <f aca="false">Sheet2_Cleaned_Data!C139</f>
        <v>North</v>
      </c>
      <c r="D139" s="6" t="str">
        <f aca="false">Sheet2_Cleaned_Data!D139</f>
        <v>High Street</v>
      </c>
      <c r="E139" s="15" t="n">
        <f aca="false">Sheet2_Cleaned_Data!M139</f>
        <v>593247.25</v>
      </c>
      <c r="F139" s="16" t="n">
        <f aca="false">Sheet5_Multiple_Regression!$J$6+Sheet5_Multiple_Regression!$J$7*Sheet5_Multiple_Regression!A140+Sheet5_Multiple_Regression!$J$8*Sheet5_Multiple_Regression!B140+Sheet5_Multiple_Regression!$J$9*Sheet5_Multiple_Regression!C140+Sheet5_Multiple_Regression!$J$10*Sheet5_Multiple_Regression!D140+Sheet5_Multiple_Regression!$J$11*Sheet5_Multiple_Regression!E140+Sheet5_Multiple_Regression!$J$12*Sheet5_Multiple_Regression!F140+Sheet5_Multiple_Regression!$J$13*Sheet5_Multiple_Regression!G140</f>
        <v>601496.906746682</v>
      </c>
      <c r="G139" s="16" t="n">
        <f aca="false">E139-F139</f>
        <v>-8249.65674668225</v>
      </c>
    </row>
    <row r="140" customFormat="false" ht="15" hidden="false" customHeight="false" outlineLevel="0" collapsed="false">
      <c r="A140" s="6" t="str">
        <f aca="false">Sheet2_Cleaned_Data!A140</f>
        <v>STR-1034</v>
      </c>
      <c r="B140" s="6" t="str">
        <f aca="false">Sheet2_Cleaned_Data!B140</f>
        <v>2025-04-01</v>
      </c>
      <c r="C140" s="6" t="str">
        <f aca="false">Sheet2_Cleaned_Data!C140</f>
        <v>North</v>
      </c>
      <c r="D140" s="6" t="str">
        <f aca="false">Sheet2_Cleaned_Data!D140</f>
        <v>High Street</v>
      </c>
      <c r="E140" s="15" t="n">
        <f aca="false">Sheet2_Cleaned_Data!M140</f>
        <v>529075.95</v>
      </c>
      <c r="F140" s="16" t="n">
        <f aca="false">Sheet5_Multiple_Regression!$J$6+Sheet5_Multiple_Regression!$J$7*Sheet5_Multiple_Regression!A141+Sheet5_Multiple_Regression!$J$8*Sheet5_Multiple_Regression!B141+Sheet5_Multiple_Regression!$J$9*Sheet5_Multiple_Regression!C141+Sheet5_Multiple_Regression!$J$10*Sheet5_Multiple_Regression!D141+Sheet5_Multiple_Regression!$J$11*Sheet5_Multiple_Regression!E141+Sheet5_Multiple_Regression!$J$12*Sheet5_Multiple_Regression!F141+Sheet5_Multiple_Regression!$J$13*Sheet5_Multiple_Regression!G141</f>
        <v>543792.622999169</v>
      </c>
      <c r="G140" s="16" t="n">
        <f aca="false">E140-F140</f>
        <v>-14716.6729991694</v>
      </c>
    </row>
    <row r="141" customFormat="false" ht="15" hidden="false" customHeight="false" outlineLevel="0" collapsed="false">
      <c r="A141" s="6" t="str">
        <f aca="false">Sheet2_Cleaned_Data!A141</f>
        <v>STR-1035</v>
      </c>
      <c r="B141" s="6" t="str">
        <f aca="false">Sheet2_Cleaned_Data!B141</f>
        <v>2025-01-01</v>
      </c>
      <c r="C141" s="6" t="str">
        <f aca="false">Sheet2_Cleaned_Data!C141</f>
        <v>South</v>
      </c>
      <c r="D141" s="6" t="str">
        <f aca="false">Sheet2_Cleaned_Data!D141</f>
        <v>Residential</v>
      </c>
      <c r="E141" s="15" t="n">
        <f aca="false">Sheet2_Cleaned_Data!M141</f>
        <v>633638.03</v>
      </c>
      <c r="F141" s="16" t="n">
        <f aca="false">Sheet5_Multiple_Regression!$J$6+Sheet5_Multiple_Regression!$J$7*Sheet5_Multiple_Regression!A142+Sheet5_Multiple_Regression!$J$8*Sheet5_Multiple_Regression!B142+Sheet5_Multiple_Regression!$J$9*Sheet5_Multiple_Regression!C142+Sheet5_Multiple_Regression!$J$10*Sheet5_Multiple_Regression!D142+Sheet5_Multiple_Regression!$J$11*Sheet5_Multiple_Regression!E142+Sheet5_Multiple_Regression!$J$12*Sheet5_Multiple_Regression!F142+Sheet5_Multiple_Regression!$J$13*Sheet5_Multiple_Regression!G142</f>
        <v>700571.536910123</v>
      </c>
      <c r="G141" s="16" t="n">
        <f aca="false">E141-F141</f>
        <v>-66933.5069101227</v>
      </c>
    </row>
    <row r="142" customFormat="false" ht="15" hidden="false" customHeight="false" outlineLevel="0" collapsed="false">
      <c r="A142" s="6" t="str">
        <f aca="false">Sheet2_Cleaned_Data!A142</f>
        <v>STR-1035</v>
      </c>
      <c r="B142" s="6" t="str">
        <f aca="false">Sheet2_Cleaned_Data!B142</f>
        <v>2025-02-01</v>
      </c>
      <c r="C142" s="6" t="str">
        <f aca="false">Sheet2_Cleaned_Data!C142</f>
        <v>South</v>
      </c>
      <c r="D142" s="6" t="str">
        <f aca="false">Sheet2_Cleaned_Data!D142</f>
        <v>Residential</v>
      </c>
      <c r="E142" s="15" t="n">
        <f aca="false">Sheet2_Cleaned_Data!M142</f>
        <v>743348.84</v>
      </c>
      <c r="F142" s="16" t="n">
        <f aca="false">Sheet5_Multiple_Regression!$J$6+Sheet5_Multiple_Regression!$J$7*Sheet5_Multiple_Regression!A143+Sheet5_Multiple_Regression!$J$8*Sheet5_Multiple_Regression!B143+Sheet5_Multiple_Regression!$J$9*Sheet5_Multiple_Regression!C143+Sheet5_Multiple_Regression!$J$10*Sheet5_Multiple_Regression!D143+Sheet5_Multiple_Regression!$J$11*Sheet5_Multiple_Regression!E143+Sheet5_Multiple_Regression!$J$12*Sheet5_Multiple_Regression!F143+Sheet5_Multiple_Regression!$J$13*Sheet5_Multiple_Regression!G143</f>
        <v>702438.536320326</v>
      </c>
      <c r="G142" s="16" t="n">
        <f aca="false">E142-F142</f>
        <v>40910.3036796737</v>
      </c>
    </row>
    <row r="143" customFormat="false" ht="15" hidden="false" customHeight="false" outlineLevel="0" collapsed="false">
      <c r="A143" s="6" t="str">
        <f aca="false">Sheet2_Cleaned_Data!A143</f>
        <v>STR-1035</v>
      </c>
      <c r="B143" s="6" t="str">
        <f aca="false">Sheet2_Cleaned_Data!B143</f>
        <v>2025-03-01</v>
      </c>
      <c r="C143" s="6" t="str">
        <f aca="false">Sheet2_Cleaned_Data!C143</f>
        <v>South</v>
      </c>
      <c r="D143" s="6" t="str">
        <f aca="false">Sheet2_Cleaned_Data!D143</f>
        <v>Residential</v>
      </c>
      <c r="E143" s="15" t="n">
        <f aca="false">Sheet2_Cleaned_Data!M143</f>
        <v>758827.64</v>
      </c>
      <c r="F143" s="16" t="n">
        <f aca="false">Sheet5_Multiple_Regression!$J$6+Sheet5_Multiple_Regression!$J$7*Sheet5_Multiple_Regression!A144+Sheet5_Multiple_Regression!$J$8*Sheet5_Multiple_Regression!B144+Sheet5_Multiple_Regression!$J$9*Sheet5_Multiple_Regression!C144+Sheet5_Multiple_Regression!$J$10*Sheet5_Multiple_Regression!D144+Sheet5_Multiple_Regression!$J$11*Sheet5_Multiple_Regression!E144+Sheet5_Multiple_Regression!$J$12*Sheet5_Multiple_Regression!F144+Sheet5_Multiple_Regression!$J$13*Sheet5_Multiple_Regression!G144</f>
        <v>683716.486883874</v>
      </c>
      <c r="G143" s="16" t="n">
        <f aca="false">E143-F143</f>
        <v>75111.1531161264</v>
      </c>
    </row>
    <row r="144" customFormat="false" ht="15" hidden="false" customHeight="false" outlineLevel="0" collapsed="false">
      <c r="A144" s="6" t="str">
        <f aca="false">Sheet2_Cleaned_Data!A144</f>
        <v>STR-1035</v>
      </c>
      <c r="B144" s="6" t="str">
        <f aca="false">Sheet2_Cleaned_Data!B144</f>
        <v>2025-04-01</v>
      </c>
      <c r="C144" s="6" t="str">
        <f aca="false">Sheet2_Cleaned_Data!C144</f>
        <v>South</v>
      </c>
      <c r="D144" s="6" t="str">
        <f aca="false">Sheet2_Cleaned_Data!D144</f>
        <v>Residential</v>
      </c>
      <c r="E144" s="15" t="n">
        <f aca="false">Sheet2_Cleaned_Data!M144</f>
        <v>646559.71</v>
      </c>
      <c r="F144" s="16" t="n">
        <f aca="false">Sheet5_Multiple_Regression!$J$6+Sheet5_Multiple_Regression!$J$7*Sheet5_Multiple_Regression!A145+Sheet5_Multiple_Regression!$J$8*Sheet5_Multiple_Regression!B145+Sheet5_Multiple_Regression!$J$9*Sheet5_Multiple_Regression!C145+Sheet5_Multiple_Regression!$J$10*Sheet5_Multiple_Regression!D145+Sheet5_Multiple_Regression!$J$11*Sheet5_Multiple_Regression!E145+Sheet5_Multiple_Regression!$J$12*Sheet5_Multiple_Regression!F145+Sheet5_Multiple_Regression!$J$13*Sheet5_Multiple_Regression!G145</f>
        <v>614931.910378003</v>
      </c>
      <c r="G144" s="16" t="n">
        <f aca="false">E144-F144</f>
        <v>31627.7996219967</v>
      </c>
    </row>
    <row r="145" customFormat="false" ht="15" hidden="false" customHeight="false" outlineLevel="0" collapsed="false">
      <c r="A145" s="6" t="str">
        <f aca="false">Sheet2_Cleaned_Data!A145</f>
        <v>STR-1036</v>
      </c>
      <c r="B145" s="6" t="str">
        <f aca="false">Sheet2_Cleaned_Data!B145</f>
        <v>2025-01-01</v>
      </c>
      <c r="C145" s="6" t="str">
        <f aca="false">Sheet2_Cleaned_Data!C145</f>
        <v>West</v>
      </c>
      <c r="D145" s="6" t="str">
        <f aca="false">Sheet2_Cleaned_Data!D145</f>
        <v>High Street</v>
      </c>
      <c r="E145" s="15" t="n">
        <f aca="false">Sheet2_Cleaned_Data!M145</f>
        <v>715890.53</v>
      </c>
      <c r="F145" s="16" t="n">
        <f aca="false">Sheet5_Multiple_Regression!$J$6+Sheet5_Multiple_Regression!$J$7*Sheet5_Multiple_Regression!A146+Sheet5_Multiple_Regression!$J$8*Sheet5_Multiple_Regression!B146+Sheet5_Multiple_Regression!$J$9*Sheet5_Multiple_Regression!C146+Sheet5_Multiple_Regression!$J$10*Sheet5_Multiple_Regression!D146+Sheet5_Multiple_Regression!$J$11*Sheet5_Multiple_Regression!E146+Sheet5_Multiple_Regression!$J$12*Sheet5_Multiple_Regression!F146+Sheet5_Multiple_Regression!$J$13*Sheet5_Multiple_Regression!G146</f>
        <v>665935.150499937</v>
      </c>
      <c r="G145" s="16" t="n">
        <f aca="false">E145-F145</f>
        <v>49955.3795000631</v>
      </c>
    </row>
    <row r="146" customFormat="false" ht="15" hidden="false" customHeight="false" outlineLevel="0" collapsed="false">
      <c r="A146" s="6" t="str">
        <f aca="false">Sheet2_Cleaned_Data!A146</f>
        <v>STR-1036</v>
      </c>
      <c r="B146" s="6" t="str">
        <f aca="false">Sheet2_Cleaned_Data!B146</f>
        <v>2025-02-01</v>
      </c>
      <c r="C146" s="6" t="str">
        <f aca="false">Sheet2_Cleaned_Data!C146</f>
        <v>West</v>
      </c>
      <c r="D146" s="6" t="str">
        <f aca="false">Sheet2_Cleaned_Data!D146</f>
        <v>High Street</v>
      </c>
      <c r="E146" s="15" t="n">
        <f aca="false">Sheet2_Cleaned_Data!M146</f>
        <v>715097.57</v>
      </c>
      <c r="F146" s="16" t="n">
        <f aca="false">Sheet5_Multiple_Regression!$J$6+Sheet5_Multiple_Regression!$J$7*Sheet5_Multiple_Regression!A147+Sheet5_Multiple_Regression!$J$8*Sheet5_Multiple_Regression!B147+Sheet5_Multiple_Regression!$J$9*Sheet5_Multiple_Regression!C147+Sheet5_Multiple_Regression!$J$10*Sheet5_Multiple_Regression!D147+Sheet5_Multiple_Regression!$J$11*Sheet5_Multiple_Regression!E147+Sheet5_Multiple_Regression!$J$12*Sheet5_Multiple_Regression!F147+Sheet5_Multiple_Regression!$J$13*Sheet5_Multiple_Regression!G147</f>
        <v>696344.053877921</v>
      </c>
      <c r="G146" s="16" t="n">
        <f aca="false">E146-F146</f>
        <v>18753.5161220785</v>
      </c>
    </row>
    <row r="147" customFormat="false" ht="15" hidden="false" customHeight="false" outlineLevel="0" collapsed="false">
      <c r="A147" s="6" t="str">
        <f aca="false">Sheet2_Cleaned_Data!A147</f>
        <v>STR-1036</v>
      </c>
      <c r="B147" s="6" t="str">
        <f aca="false">Sheet2_Cleaned_Data!B147</f>
        <v>2025-03-01</v>
      </c>
      <c r="C147" s="6" t="str">
        <f aca="false">Sheet2_Cleaned_Data!C147</f>
        <v>West</v>
      </c>
      <c r="D147" s="6" t="str">
        <f aca="false">Sheet2_Cleaned_Data!D147</f>
        <v>High Street</v>
      </c>
      <c r="E147" s="15" t="n">
        <f aca="false">Sheet2_Cleaned_Data!M147</f>
        <v>682639.28</v>
      </c>
      <c r="F147" s="16" t="n">
        <f aca="false">Sheet5_Multiple_Regression!$J$6+Sheet5_Multiple_Regression!$J$7*Sheet5_Multiple_Regression!A148+Sheet5_Multiple_Regression!$J$8*Sheet5_Multiple_Regression!B148+Sheet5_Multiple_Regression!$J$9*Sheet5_Multiple_Regression!C148+Sheet5_Multiple_Regression!$J$10*Sheet5_Multiple_Regression!D148+Sheet5_Multiple_Regression!$J$11*Sheet5_Multiple_Regression!E148+Sheet5_Multiple_Regression!$J$12*Sheet5_Multiple_Regression!F148+Sheet5_Multiple_Regression!$J$13*Sheet5_Multiple_Regression!G148</f>
        <v>639811.512480287</v>
      </c>
      <c r="G147" s="16" t="n">
        <f aca="false">E147-F147</f>
        <v>42827.7675197128</v>
      </c>
    </row>
    <row r="148" customFormat="false" ht="15" hidden="false" customHeight="false" outlineLevel="0" collapsed="false">
      <c r="A148" s="6" t="str">
        <f aca="false">Sheet2_Cleaned_Data!A148</f>
        <v>STR-1036</v>
      </c>
      <c r="B148" s="6" t="str">
        <f aca="false">Sheet2_Cleaned_Data!B148</f>
        <v>2025-04-01</v>
      </c>
      <c r="C148" s="6" t="str">
        <f aca="false">Sheet2_Cleaned_Data!C148</f>
        <v>West</v>
      </c>
      <c r="D148" s="6" t="str">
        <f aca="false">Sheet2_Cleaned_Data!D148</f>
        <v>High Street</v>
      </c>
      <c r="E148" s="15" t="n">
        <f aca="false">Sheet2_Cleaned_Data!M148</f>
        <v>695098.51</v>
      </c>
      <c r="F148" s="16" t="n">
        <f aca="false">Sheet5_Multiple_Regression!$J$6+Sheet5_Multiple_Regression!$J$7*Sheet5_Multiple_Regression!A149+Sheet5_Multiple_Regression!$J$8*Sheet5_Multiple_Regression!B149+Sheet5_Multiple_Regression!$J$9*Sheet5_Multiple_Regression!C149+Sheet5_Multiple_Regression!$J$10*Sheet5_Multiple_Regression!D149+Sheet5_Multiple_Regression!$J$11*Sheet5_Multiple_Regression!E149+Sheet5_Multiple_Regression!$J$12*Sheet5_Multiple_Regression!F149+Sheet5_Multiple_Regression!$J$13*Sheet5_Multiple_Regression!G149</f>
        <v>671790.572503408</v>
      </c>
      <c r="G148" s="16" t="n">
        <f aca="false">E148-F148</f>
        <v>23307.9374965918</v>
      </c>
    </row>
    <row r="149" customFormat="false" ht="15" hidden="false" customHeight="false" outlineLevel="0" collapsed="false">
      <c r="A149" s="6" t="str">
        <f aca="false">Sheet2_Cleaned_Data!A149</f>
        <v>STR-1037</v>
      </c>
      <c r="B149" s="6" t="str">
        <f aca="false">Sheet2_Cleaned_Data!B149</f>
        <v>2025-01-01</v>
      </c>
      <c r="C149" s="6" t="str">
        <f aca="false">Sheet2_Cleaned_Data!C149</f>
        <v>North</v>
      </c>
      <c r="D149" s="6" t="str">
        <f aca="false">Sheet2_Cleaned_Data!D149</f>
        <v>Residential</v>
      </c>
      <c r="E149" s="15" t="n">
        <f aca="false">Sheet2_Cleaned_Data!M149</f>
        <v>577732.57</v>
      </c>
      <c r="F149" s="16" t="n">
        <f aca="false">Sheet5_Multiple_Regression!$J$6+Sheet5_Multiple_Regression!$J$7*Sheet5_Multiple_Regression!A150+Sheet5_Multiple_Regression!$J$8*Sheet5_Multiple_Regression!B150+Sheet5_Multiple_Regression!$J$9*Sheet5_Multiple_Regression!C150+Sheet5_Multiple_Regression!$J$10*Sheet5_Multiple_Regression!D150+Sheet5_Multiple_Regression!$J$11*Sheet5_Multiple_Regression!E150+Sheet5_Multiple_Regression!$J$12*Sheet5_Multiple_Regression!F150+Sheet5_Multiple_Regression!$J$13*Sheet5_Multiple_Regression!G150</f>
        <v>608402.448827949</v>
      </c>
      <c r="G149" s="16" t="n">
        <f aca="false">E149-F149</f>
        <v>-30669.8788279487</v>
      </c>
    </row>
    <row r="150" customFormat="false" ht="15" hidden="false" customHeight="false" outlineLevel="0" collapsed="false">
      <c r="A150" s="6" t="str">
        <f aca="false">Sheet2_Cleaned_Data!A150</f>
        <v>STR-1037</v>
      </c>
      <c r="B150" s="6" t="str">
        <f aca="false">Sheet2_Cleaned_Data!B150</f>
        <v>2025-02-01</v>
      </c>
      <c r="C150" s="6" t="str">
        <f aca="false">Sheet2_Cleaned_Data!C150</f>
        <v>North</v>
      </c>
      <c r="D150" s="6" t="str">
        <f aca="false">Sheet2_Cleaned_Data!D150</f>
        <v>Residential</v>
      </c>
      <c r="E150" s="15" t="n">
        <f aca="false">Sheet2_Cleaned_Data!M150</f>
        <v>537058.33</v>
      </c>
      <c r="F150" s="16" t="n">
        <f aca="false">Sheet5_Multiple_Regression!$J$6+Sheet5_Multiple_Regression!$J$7*Sheet5_Multiple_Regression!A151+Sheet5_Multiple_Regression!$J$8*Sheet5_Multiple_Regression!B151+Sheet5_Multiple_Regression!$J$9*Sheet5_Multiple_Regression!C151+Sheet5_Multiple_Regression!$J$10*Sheet5_Multiple_Regression!D151+Sheet5_Multiple_Regression!$J$11*Sheet5_Multiple_Regression!E151+Sheet5_Multiple_Regression!$J$12*Sheet5_Multiple_Regression!F151+Sheet5_Multiple_Regression!$J$13*Sheet5_Multiple_Regression!G151</f>
        <v>563459.187380298</v>
      </c>
      <c r="G150" s="16" t="n">
        <f aca="false">E150-F150</f>
        <v>-26400.8573802977</v>
      </c>
    </row>
    <row r="151" customFormat="false" ht="15" hidden="false" customHeight="false" outlineLevel="0" collapsed="false">
      <c r="A151" s="6" t="str">
        <f aca="false">Sheet2_Cleaned_Data!A151</f>
        <v>STR-1037</v>
      </c>
      <c r="B151" s="6" t="str">
        <f aca="false">Sheet2_Cleaned_Data!B151</f>
        <v>2025-03-01</v>
      </c>
      <c r="C151" s="6" t="str">
        <f aca="false">Sheet2_Cleaned_Data!C151</f>
        <v>North</v>
      </c>
      <c r="D151" s="6" t="str">
        <f aca="false">Sheet2_Cleaned_Data!D151</f>
        <v>Residential</v>
      </c>
      <c r="E151" s="15" t="n">
        <f aca="false">Sheet2_Cleaned_Data!M151</f>
        <v>601568.87</v>
      </c>
      <c r="F151" s="16" t="n">
        <f aca="false">Sheet5_Multiple_Regression!$J$6+Sheet5_Multiple_Regression!$J$7*Sheet5_Multiple_Regression!A152+Sheet5_Multiple_Regression!$J$8*Sheet5_Multiple_Regression!B152+Sheet5_Multiple_Regression!$J$9*Sheet5_Multiple_Regression!C152+Sheet5_Multiple_Regression!$J$10*Sheet5_Multiple_Regression!D152+Sheet5_Multiple_Regression!$J$11*Sheet5_Multiple_Regression!E152+Sheet5_Multiple_Regression!$J$12*Sheet5_Multiple_Regression!F152+Sheet5_Multiple_Regression!$J$13*Sheet5_Multiple_Regression!G152</f>
        <v>597915.921142384</v>
      </c>
      <c r="G151" s="16" t="n">
        <f aca="false">E151-F151</f>
        <v>3652.94885761652</v>
      </c>
    </row>
    <row r="152" customFormat="false" ht="15" hidden="false" customHeight="false" outlineLevel="0" collapsed="false">
      <c r="A152" s="6" t="str">
        <f aca="false">Sheet2_Cleaned_Data!A152</f>
        <v>STR-1037</v>
      </c>
      <c r="B152" s="6" t="str">
        <f aca="false">Sheet2_Cleaned_Data!B152</f>
        <v>2025-04-01</v>
      </c>
      <c r="C152" s="6" t="str">
        <f aca="false">Sheet2_Cleaned_Data!C152</f>
        <v>North</v>
      </c>
      <c r="D152" s="6" t="str">
        <f aca="false">Sheet2_Cleaned_Data!D152</f>
        <v>Residential</v>
      </c>
      <c r="E152" s="15" t="n">
        <f aca="false">Sheet2_Cleaned_Data!M152</f>
        <v>570964.84</v>
      </c>
      <c r="F152" s="16" t="n">
        <f aca="false">Sheet5_Multiple_Regression!$J$6+Sheet5_Multiple_Regression!$J$7*Sheet5_Multiple_Regression!A153+Sheet5_Multiple_Regression!$J$8*Sheet5_Multiple_Regression!B153+Sheet5_Multiple_Regression!$J$9*Sheet5_Multiple_Regression!C153+Sheet5_Multiple_Regression!$J$10*Sheet5_Multiple_Regression!D153+Sheet5_Multiple_Regression!$J$11*Sheet5_Multiple_Regression!E153+Sheet5_Multiple_Regression!$J$12*Sheet5_Multiple_Regression!F153+Sheet5_Multiple_Regression!$J$13*Sheet5_Multiple_Regression!G153</f>
        <v>565362.335812678</v>
      </c>
      <c r="G152" s="16" t="n">
        <f aca="false">E152-F152</f>
        <v>5602.50418732164</v>
      </c>
    </row>
    <row r="153" customFormat="false" ht="15" hidden="false" customHeight="false" outlineLevel="0" collapsed="false">
      <c r="A153" s="6" t="str">
        <f aca="false">Sheet2_Cleaned_Data!A153</f>
        <v>STR-1038</v>
      </c>
      <c r="B153" s="6" t="str">
        <f aca="false">Sheet2_Cleaned_Data!B153</f>
        <v>2025-01-01</v>
      </c>
      <c r="C153" s="6" t="str">
        <f aca="false">Sheet2_Cleaned_Data!C153</f>
        <v>South</v>
      </c>
      <c r="D153" s="6" t="str">
        <f aca="false">Sheet2_Cleaned_Data!D153</f>
        <v>Mall</v>
      </c>
      <c r="E153" s="15" t="n">
        <f aca="false">Sheet2_Cleaned_Data!M153</f>
        <v>614024.91</v>
      </c>
      <c r="F153" s="16" t="n">
        <f aca="false">Sheet5_Multiple_Regression!$J$6+Sheet5_Multiple_Regression!$J$7*Sheet5_Multiple_Regression!A154+Sheet5_Multiple_Regression!$J$8*Sheet5_Multiple_Regression!B154+Sheet5_Multiple_Regression!$J$9*Sheet5_Multiple_Regression!C154+Sheet5_Multiple_Regression!$J$10*Sheet5_Multiple_Regression!D154+Sheet5_Multiple_Regression!$J$11*Sheet5_Multiple_Regression!E154+Sheet5_Multiple_Regression!$J$12*Sheet5_Multiple_Regression!F154+Sheet5_Multiple_Regression!$J$13*Sheet5_Multiple_Regression!G154</f>
        <v>649491.87917365</v>
      </c>
      <c r="G153" s="16" t="n">
        <f aca="false">E153-F153</f>
        <v>-35466.9691736498</v>
      </c>
    </row>
    <row r="154" customFormat="false" ht="15" hidden="false" customHeight="false" outlineLevel="0" collapsed="false">
      <c r="A154" s="6" t="str">
        <f aca="false">Sheet2_Cleaned_Data!A154</f>
        <v>STR-1038</v>
      </c>
      <c r="B154" s="6" t="str">
        <f aca="false">Sheet2_Cleaned_Data!B154</f>
        <v>2025-02-01</v>
      </c>
      <c r="C154" s="6" t="str">
        <f aca="false">Sheet2_Cleaned_Data!C154</f>
        <v>South</v>
      </c>
      <c r="D154" s="6" t="str">
        <f aca="false">Sheet2_Cleaned_Data!D154</f>
        <v>Mall</v>
      </c>
      <c r="E154" s="15" t="n">
        <f aca="false">Sheet2_Cleaned_Data!M154</f>
        <v>712868.35</v>
      </c>
      <c r="F154" s="16" t="n">
        <f aca="false">Sheet5_Multiple_Regression!$J$6+Sheet5_Multiple_Regression!$J$7*Sheet5_Multiple_Regression!A155+Sheet5_Multiple_Regression!$J$8*Sheet5_Multiple_Regression!B155+Sheet5_Multiple_Regression!$J$9*Sheet5_Multiple_Regression!C155+Sheet5_Multiple_Regression!$J$10*Sheet5_Multiple_Regression!D155+Sheet5_Multiple_Regression!$J$11*Sheet5_Multiple_Regression!E155+Sheet5_Multiple_Regression!$J$12*Sheet5_Multiple_Regression!F155+Sheet5_Multiple_Regression!$J$13*Sheet5_Multiple_Regression!G155</f>
        <v>713897.571031159</v>
      </c>
      <c r="G154" s="16" t="n">
        <f aca="false">E154-F154</f>
        <v>-1029.2210311594</v>
      </c>
    </row>
    <row r="155" customFormat="false" ht="15" hidden="false" customHeight="false" outlineLevel="0" collapsed="false">
      <c r="A155" s="6" t="str">
        <f aca="false">Sheet2_Cleaned_Data!A155</f>
        <v>STR-1038</v>
      </c>
      <c r="B155" s="6" t="str">
        <f aca="false">Sheet2_Cleaned_Data!B155</f>
        <v>2025-03-01</v>
      </c>
      <c r="C155" s="6" t="str">
        <f aca="false">Sheet2_Cleaned_Data!C155</f>
        <v>South</v>
      </c>
      <c r="D155" s="6" t="str">
        <f aca="false">Sheet2_Cleaned_Data!D155</f>
        <v>Mall</v>
      </c>
      <c r="E155" s="15" t="n">
        <f aca="false">Sheet2_Cleaned_Data!M155</f>
        <v>696744.15</v>
      </c>
      <c r="F155" s="16" t="n">
        <f aca="false">Sheet5_Multiple_Regression!$J$6+Sheet5_Multiple_Regression!$J$7*Sheet5_Multiple_Regression!A156+Sheet5_Multiple_Regression!$J$8*Sheet5_Multiple_Regression!B156+Sheet5_Multiple_Regression!$J$9*Sheet5_Multiple_Regression!C156+Sheet5_Multiple_Regression!$J$10*Sheet5_Multiple_Regression!D156+Sheet5_Multiple_Regression!$J$11*Sheet5_Multiple_Regression!E156+Sheet5_Multiple_Regression!$J$12*Sheet5_Multiple_Regression!F156+Sheet5_Multiple_Regression!$J$13*Sheet5_Multiple_Regression!G156</f>
        <v>669293.269425534</v>
      </c>
      <c r="G155" s="16" t="n">
        <f aca="false">E155-F155</f>
        <v>27450.8805744658</v>
      </c>
    </row>
    <row r="156" customFormat="false" ht="15" hidden="false" customHeight="false" outlineLevel="0" collapsed="false">
      <c r="A156" s="6" t="str">
        <f aca="false">Sheet2_Cleaned_Data!A156</f>
        <v>STR-1038</v>
      </c>
      <c r="B156" s="6" t="str">
        <f aca="false">Sheet2_Cleaned_Data!B156</f>
        <v>2025-04-01</v>
      </c>
      <c r="C156" s="6" t="str">
        <f aca="false">Sheet2_Cleaned_Data!C156</f>
        <v>South</v>
      </c>
      <c r="D156" s="6" t="str">
        <f aca="false">Sheet2_Cleaned_Data!D156</f>
        <v>Mall</v>
      </c>
      <c r="E156" s="15" t="n">
        <f aca="false">Sheet2_Cleaned_Data!M156</f>
        <v>725847.99</v>
      </c>
      <c r="F156" s="16" t="n">
        <f aca="false">Sheet5_Multiple_Regression!$J$6+Sheet5_Multiple_Regression!$J$7*Sheet5_Multiple_Regression!A157+Sheet5_Multiple_Regression!$J$8*Sheet5_Multiple_Regression!B157+Sheet5_Multiple_Regression!$J$9*Sheet5_Multiple_Regression!C157+Sheet5_Multiple_Regression!$J$10*Sheet5_Multiple_Regression!D157+Sheet5_Multiple_Regression!$J$11*Sheet5_Multiple_Regression!E157+Sheet5_Multiple_Regression!$J$12*Sheet5_Multiple_Regression!F157+Sheet5_Multiple_Regression!$J$13*Sheet5_Multiple_Regression!G157</f>
        <v>702489.364287456</v>
      </c>
      <c r="G156" s="16" t="n">
        <f aca="false">E156-F156</f>
        <v>23358.6257125443</v>
      </c>
    </row>
    <row r="157" customFormat="false" ht="15" hidden="false" customHeight="false" outlineLevel="0" collapsed="false">
      <c r="A157" s="6" t="str">
        <f aca="false">Sheet2_Cleaned_Data!A157</f>
        <v>STR-1039</v>
      </c>
      <c r="B157" s="6" t="str">
        <f aca="false">Sheet2_Cleaned_Data!B157</f>
        <v>2025-01-01</v>
      </c>
      <c r="C157" s="6" t="str">
        <f aca="false">Sheet2_Cleaned_Data!C157</f>
        <v>East</v>
      </c>
      <c r="D157" s="6" t="str">
        <f aca="false">Sheet2_Cleaned_Data!D157</f>
        <v>High Street</v>
      </c>
      <c r="E157" s="15" t="n">
        <f aca="false">Sheet2_Cleaned_Data!M157</f>
        <v>785028.25</v>
      </c>
      <c r="F157" s="16" t="n">
        <f aca="false">Sheet5_Multiple_Regression!$J$6+Sheet5_Multiple_Regression!$J$7*Sheet5_Multiple_Regression!A158+Sheet5_Multiple_Regression!$J$8*Sheet5_Multiple_Regression!B158+Sheet5_Multiple_Regression!$J$9*Sheet5_Multiple_Regression!C158+Sheet5_Multiple_Regression!$J$10*Sheet5_Multiple_Regression!D158+Sheet5_Multiple_Regression!$J$11*Sheet5_Multiple_Regression!E158+Sheet5_Multiple_Regression!$J$12*Sheet5_Multiple_Regression!F158+Sheet5_Multiple_Regression!$J$13*Sheet5_Multiple_Regression!G158</f>
        <v>799264.117680865</v>
      </c>
      <c r="G157" s="16" t="n">
        <f aca="false">E157-F157</f>
        <v>-14235.8676808653</v>
      </c>
    </row>
    <row r="158" customFormat="false" ht="15" hidden="false" customHeight="false" outlineLevel="0" collapsed="false">
      <c r="A158" s="6" t="str">
        <f aca="false">Sheet2_Cleaned_Data!A158</f>
        <v>STR-1039</v>
      </c>
      <c r="B158" s="6" t="str">
        <f aca="false">Sheet2_Cleaned_Data!B158</f>
        <v>2025-02-01</v>
      </c>
      <c r="C158" s="6" t="str">
        <f aca="false">Sheet2_Cleaned_Data!C158</f>
        <v>East</v>
      </c>
      <c r="D158" s="6" t="str">
        <f aca="false">Sheet2_Cleaned_Data!D158</f>
        <v>High Street</v>
      </c>
      <c r="E158" s="15" t="n">
        <f aca="false">Sheet2_Cleaned_Data!M158</f>
        <v>698492.67</v>
      </c>
      <c r="F158" s="16" t="n">
        <f aca="false">Sheet5_Multiple_Regression!$J$6+Sheet5_Multiple_Regression!$J$7*Sheet5_Multiple_Regression!A159+Sheet5_Multiple_Regression!$J$8*Sheet5_Multiple_Regression!B159+Sheet5_Multiple_Regression!$J$9*Sheet5_Multiple_Regression!C159+Sheet5_Multiple_Regression!$J$10*Sheet5_Multiple_Regression!D159+Sheet5_Multiple_Regression!$J$11*Sheet5_Multiple_Regression!E159+Sheet5_Multiple_Regression!$J$12*Sheet5_Multiple_Regression!F159+Sheet5_Multiple_Regression!$J$13*Sheet5_Multiple_Regression!G159</f>
        <v>689986.462808791</v>
      </c>
      <c r="G158" s="16" t="n">
        <f aca="false">E158-F158</f>
        <v>8506.20719120861</v>
      </c>
    </row>
    <row r="159" customFormat="false" ht="15" hidden="false" customHeight="false" outlineLevel="0" collapsed="false">
      <c r="A159" s="6" t="str">
        <f aca="false">Sheet2_Cleaned_Data!A159</f>
        <v>STR-1039</v>
      </c>
      <c r="B159" s="6" t="str">
        <f aca="false">Sheet2_Cleaned_Data!B159</f>
        <v>2025-03-01</v>
      </c>
      <c r="C159" s="6" t="str">
        <f aca="false">Sheet2_Cleaned_Data!C159</f>
        <v>East</v>
      </c>
      <c r="D159" s="6" t="str">
        <f aca="false">Sheet2_Cleaned_Data!D159</f>
        <v>High Street</v>
      </c>
      <c r="E159" s="15" t="n">
        <f aca="false">Sheet2_Cleaned_Data!M159</f>
        <v>685830.24</v>
      </c>
      <c r="F159" s="16" t="n">
        <f aca="false">Sheet5_Multiple_Regression!$J$6+Sheet5_Multiple_Regression!$J$7*Sheet5_Multiple_Regression!A160+Sheet5_Multiple_Regression!$J$8*Sheet5_Multiple_Regression!B160+Sheet5_Multiple_Regression!$J$9*Sheet5_Multiple_Regression!C160+Sheet5_Multiple_Regression!$J$10*Sheet5_Multiple_Regression!D160+Sheet5_Multiple_Regression!$J$11*Sheet5_Multiple_Regression!E160+Sheet5_Multiple_Regression!$J$12*Sheet5_Multiple_Regression!F160+Sheet5_Multiple_Regression!$J$13*Sheet5_Multiple_Regression!G160</f>
        <v>730247.636083913</v>
      </c>
      <c r="G159" s="16" t="n">
        <f aca="false">E159-F159</f>
        <v>-44417.3960839133</v>
      </c>
    </row>
    <row r="160" customFormat="false" ht="15" hidden="false" customHeight="false" outlineLevel="0" collapsed="false">
      <c r="A160" s="6" t="str">
        <f aca="false">Sheet2_Cleaned_Data!A160</f>
        <v>STR-1039</v>
      </c>
      <c r="B160" s="6" t="str">
        <f aca="false">Sheet2_Cleaned_Data!B160</f>
        <v>2025-04-01</v>
      </c>
      <c r="C160" s="6" t="str">
        <f aca="false">Sheet2_Cleaned_Data!C160</f>
        <v>East</v>
      </c>
      <c r="D160" s="6" t="str">
        <f aca="false">Sheet2_Cleaned_Data!D160</f>
        <v>High Street</v>
      </c>
      <c r="E160" s="15" t="n">
        <f aca="false">Sheet2_Cleaned_Data!M160</f>
        <v>702318.94</v>
      </c>
      <c r="F160" s="16" t="n">
        <f aca="false">Sheet5_Multiple_Regression!$J$6+Sheet5_Multiple_Regression!$J$7*Sheet5_Multiple_Regression!A161+Sheet5_Multiple_Regression!$J$8*Sheet5_Multiple_Regression!B161+Sheet5_Multiple_Regression!$J$9*Sheet5_Multiple_Regression!C161+Sheet5_Multiple_Regression!$J$10*Sheet5_Multiple_Regression!D161+Sheet5_Multiple_Regression!$J$11*Sheet5_Multiple_Regression!E161+Sheet5_Multiple_Regression!$J$12*Sheet5_Multiple_Regression!F161+Sheet5_Multiple_Regression!$J$13*Sheet5_Multiple_Regression!G161</f>
        <v>705047.837112487</v>
      </c>
      <c r="G160" s="16" t="n">
        <f aca="false">E160-F160</f>
        <v>-2728.89711248677</v>
      </c>
    </row>
    <row r="161" customFormat="false" ht="15" hidden="false" customHeight="false" outlineLevel="0" collapsed="false">
      <c r="A161" s="6" t="str">
        <f aca="false">Sheet2_Cleaned_Data!A161</f>
        <v>STR-1040</v>
      </c>
      <c r="B161" s="6" t="str">
        <f aca="false">Sheet2_Cleaned_Data!B161</f>
        <v>2025-01-01</v>
      </c>
      <c r="C161" s="6" t="str">
        <f aca="false">Sheet2_Cleaned_Data!C161</f>
        <v>North</v>
      </c>
      <c r="D161" s="6" t="str">
        <f aca="false">Sheet2_Cleaned_Data!D161</f>
        <v>Mall</v>
      </c>
      <c r="E161" s="15" t="n">
        <f aca="false">Sheet2_Cleaned_Data!M161</f>
        <v>700078.32</v>
      </c>
      <c r="F161" s="16" t="n">
        <f aca="false">Sheet5_Multiple_Regression!$J$6+Sheet5_Multiple_Regression!$J$7*Sheet5_Multiple_Regression!A162+Sheet5_Multiple_Regression!$J$8*Sheet5_Multiple_Regression!B162+Sheet5_Multiple_Regression!$J$9*Sheet5_Multiple_Regression!C162+Sheet5_Multiple_Regression!$J$10*Sheet5_Multiple_Regression!D162+Sheet5_Multiple_Regression!$J$11*Sheet5_Multiple_Regression!E162+Sheet5_Multiple_Regression!$J$12*Sheet5_Multiple_Regression!F162+Sheet5_Multiple_Regression!$J$13*Sheet5_Multiple_Regression!G162</f>
        <v>718212.520333231</v>
      </c>
      <c r="G161" s="16" t="n">
        <f aca="false">E161-F161</f>
        <v>-18134.2003332314</v>
      </c>
    </row>
    <row r="162" customFormat="false" ht="15" hidden="false" customHeight="false" outlineLevel="0" collapsed="false">
      <c r="A162" s="6" t="str">
        <f aca="false">Sheet2_Cleaned_Data!A162</f>
        <v>STR-1040</v>
      </c>
      <c r="B162" s="6" t="str">
        <f aca="false">Sheet2_Cleaned_Data!B162</f>
        <v>2025-02-01</v>
      </c>
      <c r="C162" s="6" t="str">
        <f aca="false">Sheet2_Cleaned_Data!C162</f>
        <v>North</v>
      </c>
      <c r="D162" s="6" t="str">
        <f aca="false">Sheet2_Cleaned_Data!D162</f>
        <v>Mall</v>
      </c>
      <c r="E162" s="15" t="n">
        <f aca="false">Sheet2_Cleaned_Data!M162</f>
        <v>602002.32</v>
      </c>
      <c r="F162" s="16" t="n">
        <f aca="false">Sheet5_Multiple_Regression!$J$6+Sheet5_Multiple_Regression!$J$7*Sheet5_Multiple_Regression!A163+Sheet5_Multiple_Regression!$J$8*Sheet5_Multiple_Regression!B163+Sheet5_Multiple_Regression!$J$9*Sheet5_Multiple_Regression!C163+Sheet5_Multiple_Regression!$J$10*Sheet5_Multiple_Regression!D163+Sheet5_Multiple_Regression!$J$11*Sheet5_Multiple_Regression!E163+Sheet5_Multiple_Regression!$J$12*Sheet5_Multiple_Regression!F163+Sheet5_Multiple_Regression!$J$13*Sheet5_Multiple_Regression!G163</f>
        <v>647118.576151194</v>
      </c>
      <c r="G162" s="16" t="n">
        <f aca="false">E162-F162</f>
        <v>-45116.256151194</v>
      </c>
    </row>
    <row r="163" customFormat="false" ht="15" hidden="false" customHeight="false" outlineLevel="0" collapsed="false">
      <c r="A163" s="6" t="str">
        <f aca="false">Sheet2_Cleaned_Data!A163</f>
        <v>STR-1040</v>
      </c>
      <c r="B163" s="6" t="str">
        <f aca="false">Sheet2_Cleaned_Data!B163</f>
        <v>2025-03-01</v>
      </c>
      <c r="C163" s="6" t="str">
        <f aca="false">Sheet2_Cleaned_Data!C163</f>
        <v>North</v>
      </c>
      <c r="D163" s="6" t="str">
        <f aca="false">Sheet2_Cleaned_Data!D163</f>
        <v>Mall</v>
      </c>
      <c r="E163" s="15" t="n">
        <f aca="false">Sheet2_Cleaned_Data!M163</f>
        <v>724216.07</v>
      </c>
      <c r="F163" s="16" t="n">
        <f aca="false">Sheet5_Multiple_Regression!$J$6+Sheet5_Multiple_Regression!$J$7*Sheet5_Multiple_Regression!A164+Sheet5_Multiple_Regression!$J$8*Sheet5_Multiple_Regression!B164+Sheet5_Multiple_Regression!$J$9*Sheet5_Multiple_Regression!C164+Sheet5_Multiple_Regression!$J$10*Sheet5_Multiple_Regression!D164+Sheet5_Multiple_Regression!$J$11*Sheet5_Multiple_Regression!E164+Sheet5_Multiple_Regression!$J$12*Sheet5_Multiple_Regression!F164+Sheet5_Multiple_Regression!$J$13*Sheet5_Multiple_Regression!G164</f>
        <v>664219.858801119</v>
      </c>
      <c r="G163" s="16" t="n">
        <f aca="false">E163-F163</f>
        <v>59996.2111988808</v>
      </c>
    </row>
    <row r="164" customFormat="false" ht="15" hidden="false" customHeight="false" outlineLevel="0" collapsed="false">
      <c r="A164" s="6" t="str">
        <f aca="false">Sheet2_Cleaned_Data!A164</f>
        <v>STR-1040</v>
      </c>
      <c r="B164" s="6" t="str">
        <f aca="false">Sheet2_Cleaned_Data!B164</f>
        <v>2025-04-01</v>
      </c>
      <c r="C164" s="6" t="str">
        <f aca="false">Sheet2_Cleaned_Data!C164</f>
        <v>North</v>
      </c>
      <c r="D164" s="6" t="str">
        <f aca="false">Sheet2_Cleaned_Data!D164</f>
        <v>Mall</v>
      </c>
      <c r="E164" s="15" t="n">
        <f aca="false">Sheet2_Cleaned_Data!M164</f>
        <v>620973.03</v>
      </c>
      <c r="F164" s="16" t="n">
        <f aca="false">Sheet5_Multiple_Regression!$J$6+Sheet5_Multiple_Regression!$J$7*Sheet5_Multiple_Regression!A165+Sheet5_Multiple_Regression!$J$8*Sheet5_Multiple_Regression!B165+Sheet5_Multiple_Regression!$J$9*Sheet5_Multiple_Regression!C165+Sheet5_Multiple_Regression!$J$10*Sheet5_Multiple_Regression!D165+Sheet5_Multiple_Regression!$J$11*Sheet5_Multiple_Regression!E165+Sheet5_Multiple_Regression!$J$12*Sheet5_Multiple_Regression!F165+Sheet5_Multiple_Regression!$J$13*Sheet5_Multiple_Regression!G165</f>
        <v>574699.905948919</v>
      </c>
      <c r="G164" s="16" t="n">
        <f aca="false">E164-F164</f>
        <v>46273.1240510807</v>
      </c>
    </row>
    <row r="165" customFormat="false" ht="15" hidden="false" customHeight="false" outlineLevel="0" collapsed="false">
      <c r="A165" s="6" t="str">
        <f aca="false">Sheet2_Cleaned_Data!A165</f>
        <v>STR-1041</v>
      </c>
      <c r="B165" s="6" t="str">
        <f aca="false">Sheet2_Cleaned_Data!B165</f>
        <v>2025-01-01</v>
      </c>
      <c r="C165" s="6" t="str">
        <f aca="false">Sheet2_Cleaned_Data!C165</f>
        <v>South</v>
      </c>
      <c r="D165" s="6" t="str">
        <f aca="false">Sheet2_Cleaned_Data!D165</f>
        <v>High Street</v>
      </c>
      <c r="E165" s="15" t="n">
        <f aca="false">Sheet2_Cleaned_Data!M165</f>
        <v>650480.06</v>
      </c>
      <c r="F165" s="16" t="n">
        <f aca="false">Sheet5_Multiple_Regression!$J$6+Sheet5_Multiple_Regression!$J$7*Sheet5_Multiple_Regression!A166+Sheet5_Multiple_Regression!$J$8*Sheet5_Multiple_Regression!B166+Sheet5_Multiple_Regression!$J$9*Sheet5_Multiple_Regression!C166+Sheet5_Multiple_Regression!$J$10*Sheet5_Multiple_Regression!D166+Sheet5_Multiple_Regression!$J$11*Sheet5_Multiple_Regression!E166+Sheet5_Multiple_Regression!$J$12*Sheet5_Multiple_Regression!F166+Sheet5_Multiple_Regression!$J$13*Sheet5_Multiple_Regression!G166</f>
        <v>696280.379458913</v>
      </c>
      <c r="G165" s="16" t="n">
        <f aca="false">E165-F165</f>
        <v>-45800.3194589126</v>
      </c>
    </row>
    <row r="166" customFormat="false" ht="15" hidden="false" customHeight="false" outlineLevel="0" collapsed="false">
      <c r="A166" s="6" t="str">
        <f aca="false">Sheet2_Cleaned_Data!A166</f>
        <v>STR-1041</v>
      </c>
      <c r="B166" s="6" t="str">
        <f aca="false">Sheet2_Cleaned_Data!B166</f>
        <v>2025-02-01</v>
      </c>
      <c r="C166" s="6" t="str">
        <f aca="false">Sheet2_Cleaned_Data!C166</f>
        <v>South</v>
      </c>
      <c r="D166" s="6" t="str">
        <f aca="false">Sheet2_Cleaned_Data!D166</f>
        <v>High Street</v>
      </c>
      <c r="E166" s="15" t="n">
        <f aca="false">Sheet2_Cleaned_Data!M166</f>
        <v>778298.88</v>
      </c>
      <c r="F166" s="16" t="n">
        <f aca="false">Sheet5_Multiple_Regression!$J$6+Sheet5_Multiple_Regression!$J$7*Sheet5_Multiple_Regression!A167+Sheet5_Multiple_Regression!$J$8*Sheet5_Multiple_Regression!B167+Sheet5_Multiple_Regression!$J$9*Sheet5_Multiple_Regression!C167+Sheet5_Multiple_Regression!$J$10*Sheet5_Multiple_Regression!D167+Sheet5_Multiple_Regression!$J$11*Sheet5_Multiple_Regression!E167+Sheet5_Multiple_Regression!$J$12*Sheet5_Multiple_Regression!F167+Sheet5_Multiple_Regression!$J$13*Sheet5_Multiple_Regression!G167</f>
        <v>699855.805760395</v>
      </c>
      <c r="G166" s="16" t="n">
        <f aca="false">E166-F166</f>
        <v>78443.074239605</v>
      </c>
    </row>
    <row r="167" customFormat="false" ht="15" hidden="false" customHeight="false" outlineLevel="0" collapsed="false">
      <c r="A167" s="6" t="str">
        <f aca="false">Sheet2_Cleaned_Data!A167</f>
        <v>STR-1041</v>
      </c>
      <c r="B167" s="6" t="str">
        <f aca="false">Sheet2_Cleaned_Data!B167</f>
        <v>2025-03-01</v>
      </c>
      <c r="C167" s="6" t="str">
        <f aca="false">Sheet2_Cleaned_Data!C167</f>
        <v>South</v>
      </c>
      <c r="D167" s="6" t="str">
        <f aca="false">Sheet2_Cleaned_Data!D167</f>
        <v>High Street</v>
      </c>
      <c r="E167" s="15" t="n">
        <f aca="false">Sheet2_Cleaned_Data!M167</f>
        <v>677096.71</v>
      </c>
      <c r="F167" s="16" t="n">
        <f aca="false">Sheet5_Multiple_Regression!$J$6+Sheet5_Multiple_Regression!$J$7*Sheet5_Multiple_Regression!A168+Sheet5_Multiple_Regression!$J$8*Sheet5_Multiple_Regression!B168+Sheet5_Multiple_Regression!$J$9*Sheet5_Multiple_Regression!C168+Sheet5_Multiple_Regression!$J$10*Sheet5_Multiple_Regression!D168+Sheet5_Multiple_Regression!$J$11*Sheet5_Multiple_Regression!E168+Sheet5_Multiple_Regression!$J$12*Sheet5_Multiple_Regression!F168+Sheet5_Multiple_Regression!$J$13*Sheet5_Multiple_Regression!G168</f>
        <v>680623.339073093</v>
      </c>
      <c r="G167" s="16" t="n">
        <f aca="false">E167-F167</f>
        <v>-3526.62907309341</v>
      </c>
    </row>
    <row r="168" customFormat="false" ht="15" hidden="false" customHeight="false" outlineLevel="0" collapsed="false">
      <c r="A168" s="6" t="str">
        <f aca="false">Sheet2_Cleaned_Data!A168</f>
        <v>STR-1041</v>
      </c>
      <c r="B168" s="6" t="str">
        <f aca="false">Sheet2_Cleaned_Data!B168</f>
        <v>2025-04-01</v>
      </c>
      <c r="C168" s="6" t="str">
        <f aca="false">Sheet2_Cleaned_Data!C168</f>
        <v>South</v>
      </c>
      <c r="D168" s="6" t="str">
        <f aca="false">Sheet2_Cleaned_Data!D168</f>
        <v>High Street</v>
      </c>
      <c r="E168" s="15" t="n">
        <f aca="false">Sheet2_Cleaned_Data!M168</f>
        <v>692008.64</v>
      </c>
      <c r="F168" s="16" t="n">
        <f aca="false">Sheet5_Multiple_Regression!$J$6+Sheet5_Multiple_Regression!$J$7*Sheet5_Multiple_Regression!A169+Sheet5_Multiple_Regression!$J$8*Sheet5_Multiple_Regression!B169+Sheet5_Multiple_Regression!$J$9*Sheet5_Multiple_Regression!C169+Sheet5_Multiple_Regression!$J$10*Sheet5_Multiple_Regression!D169+Sheet5_Multiple_Regression!$J$11*Sheet5_Multiple_Regression!E169+Sheet5_Multiple_Regression!$J$12*Sheet5_Multiple_Regression!F169+Sheet5_Multiple_Regression!$J$13*Sheet5_Multiple_Regression!G169</f>
        <v>695781.950893184</v>
      </c>
      <c r="G168" s="16" t="n">
        <f aca="false">E168-F168</f>
        <v>-3773.31089318416</v>
      </c>
    </row>
    <row r="169" customFormat="false" ht="15" hidden="false" customHeight="false" outlineLevel="0" collapsed="false">
      <c r="A169" s="6" t="str">
        <f aca="false">Sheet2_Cleaned_Data!A169</f>
        <v>STR-1042</v>
      </c>
      <c r="B169" s="6" t="str">
        <f aca="false">Sheet2_Cleaned_Data!B169</f>
        <v>2025-01-01</v>
      </c>
      <c r="C169" s="6" t="str">
        <f aca="false">Sheet2_Cleaned_Data!C169</f>
        <v>North</v>
      </c>
      <c r="D169" s="6" t="str">
        <f aca="false">Sheet2_Cleaned_Data!D169</f>
        <v>Mall</v>
      </c>
      <c r="E169" s="15" t="n">
        <f aca="false">Sheet2_Cleaned_Data!M169</f>
        <v>825797.91</v>
      </c>
      <c r="F169" s="16" t="n">
        <f aca="false">Sheet5_Multiple_Regression!$J$6+Sheet5_Multiple_Regression!$J$7*Sheet5_Multiple_Regression!A170+Sheet5_Multiple_Regression!$J$8*Sheet5_Multiple_Regression!B170+Sheet5_Multiple_Regression!$J$9*Sheet5_Multiple_Regression!C170+Sheet5_Multiple_Regression!$J$10*Sheet5_Multiple_Regression!D170+Sheet5_Multiple_Regression!$J$11*Sheet5_Multiple_Regression!E170+Sheet5_Multiple_Regression!$J$12*Sheet5_Multiple_Regression!F170+Sheet5_Multiple_Regression!$J$13*Sheet5_Multiple_Regression!G170</f>
        <v>785839.848567905</v>
      </c>
      <c r="G169" s="16" t="n">
        <f aca="false">E169-F169</f>
        <v>39958.0614320952</v>
      </c>
    </row>
    <row r="170" customFormat="false" ht="15" hidden="false" customHeight="false" outlineLevel="0" collapsed="false">
      <c r="A170" s="6" t="str">
        <f aca="false">Sheet2_Cleaned_Data!A170</f>
        <v>STR-1042</v>
      </c>
      <c r="B170" s="6" t="str">
        <f aca="false">Sheet2_Cleaned_Data!B170</f>
        <v>2025-02-01</v>
      </c>
      <c r="C170" s="6" t="str">
        <f aca="false">Sheet2_Cleaned_Data!C170</f>
        <v>North</v>
      </c>
      <c r="D170" s="6" t="str">
        <f aca="false">Sheet2_Cleaned_Data!D170</f>
        <v>Mall</v>
      </c>
      <c r="E170" s="15" t="n">
        <f aca="false">Sheet2_Cleaned_Data!M170</f>
        <v>706285.52</v>
      </c>
      <c r="F170" s="16" t="n">
        <f aca="false">Sheet5_Multiple_Regression!$J$6+Sheet5_Multiple_Regression!$J$7*Sheet5_Multiple_Regression!A171+Sheet5_Multiple_Regression!$J$8*Sheet5_Multiple_Regression!B171+Sheet5_Multiple_Regression!$J$9*Sheet5_Multiple_Regression!C171+Sheet5_Multiple_Regression!$J$10*Sheet5_Multiple_Regression!D171+Sheet5_Multiple_Regression!$J$11*Sheet5_Multiple_Regression!E171+Sheet5_Multiple_Regression!$J$12*Sheet5_Multiple_Regression!F171+Sheet5_Multiple_Regression!$J$13*Sheet5_Multiple_Regression!G171</f>
        <v>736525.003760543</v>
      </c>
      <c r="G170" s="16" t="n">
        <f aca="false">E170-F170</f>
        <v>-30239.4837605429</v>
      </c>
    </row>
    <row r="171" customFormat="false" ht="15" hidden="false" customHeight="false" outlineLevel="0" collapsed="false">
      <c r="A171" s="6" t="str">
        <f aca="false">Sheet2_Cleaned_Data!A171</f>
        <v>STR-1042</v>
      </c>
      <c r="B171" s="6" t="str">
        <f aca="false">Sheet2_Cleaned_Data!B171</f>
        <v>2025-03-01</v>
      </c>
      <c r="C171" s="6" t="str">
        <f aca="false">Sheet2_Cleaned_Data!C171</f>
        <v>North</v>
      </c>
      <c r="D171" s="6" t="str">
        <f aca="false">Sheet2_Cleaned_Data!D171</f>
        <v>Mall</v>
      </c>
      <c r="E171" s="15" t="n">
        <f aca="false">Sheet2_Cleaned_Data!M171</f>
        <v>665534.7</v>
      </c>
      <c r="F171" s="16" t="n">
        <f aca="false">Sheet5_Multiple_Regression!$J$6+Sheet5_Multiple_Regression!$J$7*Sheet5_Multiple_Regression!A172+Sheet5_Multiple_Regression!$J$8*Sheet5_Multiple_Regression!B172+Sheet5_Multiple_Regression!$J$9*Sheet5_Multiple_Regression!C172+Sheet5_Multiple_Regression!$J$10*Sheet5_Multiple_Regression!D172+Sheet5_Multiple_Regression!$J$11*Sheet5_Multiple_Regression!E172+Sheet5_Multiple_Regression!$J$12*Sheet5_Multiple_Regression!F172+Sheet5_Multiple_Regression!$J$13*Sheet5_Multiple_Regression!G172</f>
        <v>682966.120143891</v>
      </c>
      <c r="G171" s="16" t="n">
        <f aca="false">E171-F171</f>
        <v>-17431.4201438912</v>
      </c>
    </row>
    <row r="172" customFormat="false" ht="15" hidden="false" customHeight="false" outlineLevel="0" collapsed="false">
      <c r="A172" s="6" t="str">
        <f aca="false">Sheet2_Cleaned_Data!A172</f>
        <v>STR-1042</v>
      </c>
      <c r="B172" s="6" t="str">
        <f aca="false">Sheet2_Cleaned_Data!B172</f>
        <v>2025-04-01</v>
      </c>
      <c r="C172" s="6" t="str">
        <f aca="false">Sheet2_Cleaned_Data!C172</f>
        <v>North</v>
      </c>
      <c r="D172" s="6" t="str">
        <f aca="false">Sheet2_Cleaned_Data!D172</f>
        <v>Mall</v>
      </c>
      <c r="E172" s="15" t="n">
        <f aca="false">Sheet2_Cleaned_Data!M172</f>
        <v>820729.29</v>
      </c>
      <c r="F172" s="16" t="n">
        <f aca="false">Sheet5_Multiple_Regression!$J$6+Sheet5_Multiple_Regression!$J$7*Sheet5_Multiple_Regression!A173+Sheet5_Multiple_Regression!$J$8*Sheet5_Multiple_Regression!B173+Sheet5_Multiple_Regression!$J$9*Sheet5_Multiple_Regression!C173+Sheet5_Multiple_Regression!$J$10*Sheet5_Multiple_Regression!D173+Sheet5_Multiple_Regression!$J$11*Sheet5_Multiple_Regression!E173+Sheet5_Multiple_Regression!$J$12*Sheet5_Multiple_Regression!F173+Sheet5_Multiple_Regression!$J$13*Sheet5_Multiple_Regression!G173</f>
        <v>817833.833984566</v>
      </c>
      <c r="G172" s="16" t="n">
        <f aca="false">E172-F172</f>
        <v>2895.45601543447</v>
      </c>
    </row>
    <row r="173" customFormat="false" ht="15" hidden="false" customHeight="false" outlineLevel="0" collapsed="false">
      <c r="A173" s="6" t="str">
        <f aca="false">Sheet2_Cleaned_Data!A173</f>
        <v>STR-1043</v>
      </c>
      <c r="B173" s="6" t="str">
        <f aca="false">Sheet2_Cleaned_Data!B173</f>
        <v>2025-01-01</v>
      </c>
      <c r="C173" s="6" t="str">
        <f aca="false">Sheet2_Cleaned_Data!C173</f>
        <v>East</v>
      </c>
      <c r="D173" s="6" t="str">
        <f aca="false">Sheet2_Cleaned_Data!D173</f>
        <v>Residential</v>
      </c>
      <c r="E173" s="15" t="n">
        <f aca="false">Sheet2_Cleaned_Data!M173</f>
        <v>739831.73</v>
      </c>
      <c r="F173" s="16" t="n">
        <f aca="false">Sheet5_Multiple_Regression!$J$6+Sheet5_Multiple_Regression!$J$7*Sheet5_Multiple_Regression!A174+Sheet5_Multiple_Regression!$J$8*Sheet5_Multiple_Regression!B174+Sheet5_Multiple_Regression!$J$9*Sheet5_Multiple_Regression!C174+Sheet5_Multiple_Regression!$J$10*Sheet5_Multiple_Regression!D174+Sheet5_Multiple_Regression!$J$11*Sheet5_Multiple_Regression!E174+Sheet5_Multiple_Regression!$J$12*Sheet5_Multiple_Regression!F174+Sheet5_Multiple_Regression!$J$13*Sheet5_Multiple_Regression!G174</f>
        <v>761628.383548145</v>
      </c>
      <c r="G173" s="16" t="n">
        <f aca="false">E173-F173</f>
        <v>-21796.6535481454</v>
      </c>
    </row>
    <row r="174" customFormat="false" ht="15" hidden="false" customHeight="false" outlineLevel="0" collapsed="false">
      <c r="A174" s="6" t="str">
        <f aca="false">Sheet2_Cleaned_Data!A174</f>
        <v>STR-1043</v>
      </c>
      <c r="B174" s="6" t="str">
        <f aca="false">Sheet2_Cleaned_Data!B174</f>
        <v>2025-02-01</v>
      </c>
      <c r="C174" s="6" t="str">
        <f aca="false">Sheet2_Cleaned_Data!C174</f>
        <v>East</v>
      </c>
      <c r="D174" s="6" t="str">
        <f aca="false">Sheet2_Cleaned_Data!D174</f>
        <v>Residential</v>
      </c>
      <c r="E174" s="15" t="n">
        <f aca="false">Sheet2_Cleaned_Data!M174</f>
        <v>593637.14</v>
      </c>
      <c r="F174" s="16" t="n">
        <f aca="false">Sheet5_Multiple_Regression!$J$6+Sheet5_Multiple_Regression!$J$7*Sheet5_Multiple_Regression!A175+Sheet5_Multiple_Regression!$J$8*Sheet5_Multiple_Regression!B175+Sheet5_Multiple_Regression!$J$9*Sheet5_Multiple_Regression!C175+Sheet5_Multiple_Regression!$J$10*Sheet5_Multiple_Regression!D175+Sheet5_Multiple_Regression!$J$11*Sheet5_Multiple_Regression!E175+Sheet5_Multiple_Regression!$J$12*Sheet5_Multiple_Regression!F175+Sheet5_Multiple_Regression!$J$13*Sheet5_Multiple_Regression!G175</f>
        <v>660215.084748898</v>
      </c>
      <c r="G174" s="16" t="n">
        <f aca="false">E174-F174</f>
        <v>-66577.9447488976</v>
      </c>
    </row>
    <row r="175" customFormat="false" ht="15" hidden="false" customHeight="false" outlineLevel="0" collapsed="false">
      <c r="A175" s="6" t="str">
        <f aca="false">Sheet2_Cleaned_Data!A175</f>
        <v>STR-1043</v>
      </c>
      <c r="B175" s="6" t="str">
        <f aca="false">Sheet2_Cleaned_Data!B175</f>
        <v>2025-03-01</v>
      </c>
      <c r="C175" s="6" t="str">
        <f aca="false">Sheet2_Cleaned_Data!C175</f>
        <v>East</v>
      </c>
      <c r="D175" s="6" t="str">
        <f aca="false">Sheet2_Cleaned_Data!D175</f>
        <v>Residential</v>
      </c>
      <c r="E175" s="15" t="n">
        <f aca="false">Sheet2_Cleaned_Data!M175</f>
        <v>769702.76</v>
      </c>
      <c r="F175" s="16" t="n">
        <f aca="false">Sheet5_Multiple_Regression!$J$6+Sheet5_Multiple_Regression!$J$7*Sheet5_Multiple_Regression!A176+Sheet5_Multiple_Regression!$J$8*Sheet5_Multiple_Regression!B176+Sheet5_Multiple_Regression!$J$9*Sheet5_Multiple_Regression!C176+Sheet5_Multiple_Regression!$J$10*Sheet5_Multiple_Regression!D176+Sheet5_Multiple_Regression!$J$11*Sheet5_Multiple_Regression!E176+Sheet5_Multiple_Regression!$J$12*Sheet5_Multiple_Regression!F176+Sheet5_Multiple_Regression!$J$13*Sheet5_Multiple_Regression!G176</f>
        <v>725787.540610408</v>
      </c>
      <c r="G175" s="16" t="n">
        <f aca="false">E175-F175</f>
        <v>43915.2193895922</v>
      </c>
    </row>
    <row r="176" customFormat="false" ht="15" hidden="false" customHeight="false" outlineLevel="0" collapsed="false">
      <c r="A176" s="6" t="str">
        <f aca="false">Sheet2_Cleaned_Data!A176</f>
        <v>STR-1043</v>
      </c>
      <c r="B176" s="6" t="str">
        <f aca="false">Sheet2_Cleaned_Data!B176</f>
        <v>2025-04-01</v>
      </c>
      <c r="C176" s="6" t="str">
        <f aca="false">Sheet2_Cleaned_Data!C176</f>
        <v>East</v>
      </c>
      <c r="D176" s="6" t="str">
        <f aca="false">Sheet2_Cleaned_Data!D176</f>
        <v>Residential</v>
      </c>
      <c r="E176" s="15" t="n">
        <f aca="false">Sheet2_Cleaned_Data!M176</f>
        <v>679731.57</v>
      </c>
      <c r="F176" s="16" t="n">
        <f aca="false">Sheet5_Multiple_Regression!$J$6+Sheet5_Multiple_Regression!$J$7*Sheet5_Multiple_Regression!A177+Sheet5_Multiple_Regression!$J$8*Sheet5_Multiple_Regression!B177+Sheet5_Multiple_Regression!$J$9*Sheet5_Multiple_Regression!C177+Sheet5_Multiple_Regression!$J$10*Sheet5_Multiple_Regression!D177+Sheet5_Multiple_Regression!$J$11*Sheet5_Multiple_Regression!E177+Sheet5_Multiple_Regression!$J$12*Sheet5_Multiple_Regression!F177+Sheet5_Multiple_Regression!$J$13*Sheet5_Multiple_Regression!G177</f>
        <v>683796.797726174</v>
      </c>
      <c r="G176" s="16" t="n">
        <f aca="false">E176-F176</f>
        <v>-4065.22772617359</v>
      </c>
    </row>
    <row r="177" customFormat="false" ht="15" hidden="false" customHeight="false" outlineLevel="0" collapsed="false">
      <c r="A177" s="6" t="str">
        <f aca="false">Sheet2_Cleaned_Data!A177</f>
        <v>STR-1044</v>
      </c>
      <c r="B177" s="6" t="str">
        <f aca="false">Sheet2_Cleaned_Data!B177</f>
        <v>2025-01-01</v>
      </c>
      <c r="C177" s="6" t="str">
        <f aca="false">Sheet2_Cleaned_Data!C177</f>
        <v>East</v>
      </c>
      <c r="D177" s="6" t="str">
        <f aca="false">Sheet2_Cleaned_Data!D177</f>
        <v>Residential</v>
      </c>
      <c r="E177" s="15" t="n">
        <f aca="false">Sheet2_Cleaned_Data!M177</f>
        <v>780344.18</v>
      </c>
      <c r="F177" s="16" t="n">
        <f aca="false">Sheet5_Multiple_Regression!$J$6+Sheet5_Multiple_Regression!$J$7*Sheet5_Multiple_Regression!A178+Sheet5_Multiple_Regression!$J$8*Sheet5_Multiple_Regression!B178+Sheet5_Multiple_Regression!$J$9*Sheet5_Multiple_Regression!C178+Sheet5_Multiple_Regression!$J$10*Sheet5_Multiple_Regression!D178+Sheet5_Multiple_Regression!$J$11*Sheet5_Multiple_Regression!E178+Sheet5_Multiple_Regression!$J$12*Sheet5_Multiple_Regression!F178+Sheet5_Multiple_Regression!$J$13*Sheet5_Multiple_Regression!G178</f>
        <v>764694.854393114</v>
      </c>
      <c r="G177" s="16" t="n">
        <f aca="false">E177-F177</f>
        <v>15649.3256068861</v>
      </c>
    </row>
    <row r="178" customFormat="false" ht="15" hidden="false" customHeight="false" outlineLevel="0" collapsed="false">
      <c r="A178" s="6" t="str">
        <f aca="false">Sheet2_Cleaned_Data!A178</f>
        <v>STR-1044</v>
      </c>
      <c r="B178" s="6" t="str">
        <f aca="false">Sheet2_Cleaned_Data!B178</f>
        <v>2025-02-01</v>
      </c>
      <c r="C178" s="6" t="str">
        <f aca="false">Sheet2_Cleaned_Data!C178</f>
        <v>East</v>
      </c>
      <c r="D178" s="6" t="str">
        <f aca="false">Sheet2_Cleaned_Data!D178</f>
        <v>Residential</v>
      </c>
      <c r="E178" s="15" t="n">
        <f aca="false">Sheet2_Cleaned_Data!M178</f>
        <v>721364.11</v>
      </c>
      <c r="F178" s="16" t="n">
        <f aca="false">Sheet5_Multiple_Regression!$J$6+Sheet5_Multiple_Regression!$J$7*Sheet5_Multiple_Regression!A179+Sheet5_Multiple_Regression!$J$8*Sheet5_Multiple_Regression!B179+Sheet5_Multiple_Regression!$J$9*Sheet5_Multiple_Regression!C179+Sheet5_Multiple_Regression!$J$10*Sheet5_Multiple_Regression!D179+Sheet5_Multiple_Regression!$J$11*Sheet5_Multiple_Regression!E179+Sheet5_Multiple_Regression!$J$12*Sheet5_Multiple_Regression!F179+Sheet5_Multiple_Regression!$J$13*Sheet5_Multiple_Regression!G179</f>
        <v>751029.489593892</v>
      </c>
      <c r="G178" s="16" t="n">
        <f aca="false">E178-F178</f>
        <v>-29665.3795938921</v>
      </c>
    </row>
    <row r="179" customFormat="false" ht="15" hidden="false" customHeight="false" outlineLevel="0" collapsed="false">
      <c r="A179" s="6" t="str">
        <f aca="false">Sheet2_Cleaned_Data!A179</f>
        <v>STR-1044</v>
      </c>
      <c r="B179" s="6" t="str">
        <f aca="false">Sheet2_Cleaned_Data!B179</f>
        <v>2025-03-01</v>
      </c>
      <c r="C179" s="6" t="str">
        <f aca="false">Sheet2_Cleaned_Data!C179</f>
        <v>East</v>
      </c>
      <c r="D179" s="6" t="str">
        <f aca="false">Sheet2_Cleaned_Data!D179</f>
        <v>Residential</v>
      </c>
      <c r="E179" s="15" t="n">
        <f aca="false">Sheet2_Cleaned_Data!M179</f>
        <v>758138.29</v>
      </c>
      <c r="F179" s="16" t="n">
        <f aca="false">Sheet5_Multiple_Regression!$J$6+Sheet5_Multiple_Regression!$J$7*Sheet5_Multiple_Regression!A180+Sheet5_Multiple_Regression!$J$8*Sheet5_Multiple_Regression!B180+Sheet5_Multiple_Regression!$J$9*Sheet5_Multiple_Regression!C180+Sheet5_Multiple_Regression!$J$10*Sheet5_Multiple_Regression!D180+Sheet5_Multiple_Regression!$J$11*Sheet5_Multiple_Regression!E180+Sheet5_Multiple_Regression!$J$12*Sheet5_Multiple_Regression!F180+Sheet5_Multiple_Regression!$J$13*Sheet5_Multiple_Regression!G180</f>
        <v>774859.775500225</v>
      </c>
      <c r="G179" s="16" t="n">
        <f aca="false">E179-F179</f>
        <v>-16721.4855002246</v>
      </c>
    </row>
    <row r="180" customFormat="false" ht="15" hidden="false" customHeight="false" outlineLevel="0" collapsed="false">
      <c r="A180" s="6" t="str">
        <f aca="false">Sheet2_Cleaned_Data!A180</f>
        <v>STR-1044</v>
      </c>
      <c r="B180" s="6" t="str">
        <f aca="false">Sheet2_Cleaned_Data!B180</f>
        <v>2025-04-01</v>
      </c>
      <c r="C180" s="6" t="str">
        <f aca="false">Sheet2_Cleaned_Data!C180</f>
        <v>East</v>
      </c>
      <c r="D180" s="6" t="str">
        <f aca="false">Sheet2_Cleaned_Data!D180</f>
        <v>Residential</v>
      </c>
      <c r="E180" s="15" t="n">
        <f aca="false">Sheet2_Cleaned_Data!M180</f>
        <v>804264</v>
      </c>
      <c r="F180" s="16" t="n">
        <f aca="false">Sheet5_Multiple_Regression!$J$6+Sheet5_Multiple_Regression!$J$7*Sheet5_Multiple_Regression!A181+Sheet5_Multiple_Regression!$J$8*Sheet5_Multiple_Regression!B181+Sheet5_Multiple_Regression!$J$9*Sheet5_Multiple_Regression!C181+Sheet5_Multiple_Regression!$J$10*Sheet5_Multiple_Regression!D181+Sheet5_Multiple_Regression!$J$11*Sheet5_Multiple_Regression!E181+Sheet5_Multiple_Regression!$J$12*Sheet5_Multiple_Regression!F181+Sheet5_Multiple_Regression!$J$13*Sheet5_Multiple_Regression!G181</f>
        <v>816436.074932044</v>
      </c>
      <c r="G180" s="16" t="n">
        <f aca="false">E180-F180</f>
        <v>-12172.0749320441</v>
      </c>
    </row>
    <row r="181" customFormat="false" ht="15" hidden="false" customHeight="false" outlineLevel="0" collapsed="false">
      <c r="A181" s="6" t="str">
        <f aca="false">Sheet2_Cleaned_Data!A181</f>
        <v>STR-1045</v>
      </c>
      <c r="B181" s="6" t="str">
        <f aca="false">Sheet2_Cleaned_Data!B181</f>
        <v>2025-01-01</v>
      </c>
      <c r="C181" s="6" t="str">
        <f aca="false">Sheet2_Cleaned_Data!C181</f>
        <v>West</v>
      </c>
      <c r="D181" s="6" t="str">
        <f aca="false">Sheet2_Cleaned_Data!D181</f>
        <v>Airport</v>
      </c>
      <c r="E181" s="15" t="n">
        <f aca="false">Sheet2_Cleaned_Data!M181</f>
        <v>887537.75</v>
      </c>
      <c r="F181" s="16" t="n">
        <f aca="false">Sheet5_Multiple_Regression!$J$6+Sheet5_Multiple_Regression!$J$7*Sheet5_Multiple_Regression!A182+Sheet5_Multiple_Regression!$J$8*Sheet5_Multiple_Regression!B182+Sheet5_Multiple_Regression!$J$9*Sheet5_Multiple_Regression!C182+Sheet5_Multiple_Regression!$J$10*Sheet5_Multiple_Regression!D182+Sheet5_Multiple_Regression!$J$11*Sheet5_Multiple_Regression!E182+Sheet5_Multiple_Regression!$J$12*Sheet5_Multiple_Regression!F182+Sheet5_Multiple_Regression!$J$13*Sheet5_Multiple_Regression!G182</f>
        <v>880790.190434108</v>
      </c>
      <c r="G181" s="16" t="n">
        <f aca="false">E181-F181</f>
        <v>6747.55956589221</v>
      </c>
    </row>
    <row r="182" customFormat="false" ht="15" hidden="false" customHeight="false" outlineLevel="0" collapsed="false">
      <c r="A182" s="6" t="str">
        <f aca="false">Sheet2_Cleaned_Data!A182</f>
        <v>STR-1045</v>
      </c>
      <c r="B182" s="6" t="str">
        <f aca="false">Sheet2_Cleaned_Data!B182</f>
        <v>2025-02-01</v>
      </c>
      <c r="C182" s="6" t="str">
        <f aca="false">Sheet2_Cleaned_Data!C182</f>
        <v>West</v>
      </c>
      <c r="D182" s="6" t="str">
        <f aca="false">Sheet2_Cleaned_Data!D182</f>
        <v>Airport</v>
      </c>
      <c r="E182" s="15" t="n">
        <f aca="false">Sheet2_Cleaned_Data!M182</f>
        <v>783582</v>
      </c>
      <c r="F182" s="16" t="n">
        <f aca="false">Sheet5_Multiple_Regression!$J$6+Sheet5_Multiple_Regression!$J$7*Sheet5_Multiple_Regression!A183+Sheet5_Multiple_Regression!$J$8*Sheet5_Multiple_Regression!B183+Sheet5_Multiple_Regression!$J$9*Sheet5_Multiple_Regression!C183+Sheet5_Multiple_Regression!$J$10*Sheet5_Multiple_Regression!D183+Sheet5_Multiple_Regression!$J$11*Sheet5_Multiple_Regression!E183+Sheet5_Multiple_Regression!$J$12*Sheet5_Multiple_Regression!F183+Sheet5_Multiple_Regression!$J$13*Sheet5_Multiple_Regression!G183</f>
        <v>722242.522572055</v>
      </c>
      <c r="G182" s="16" t="n">
        <f aca="false">E182-F182</f>
        <v>61339.4774279455</v>
      </c>
    </row>
    <row r="183" customFormat="false" ht="15" hidden="false" customHeight="false" outlineLevel="0" collapsed="false">
      <c r="A183" s="6" t="str">
        <f aca="false">Sheet2_Cleaned_Data!A183</f>
        <v>STR-1045</v>
      </c>
      <c r="B183" s="6" t="str">
        <f aca="false">Sheet2_Cleaned_Data!B183</f>
        <v>2025-03-01</v>
      </c>
      <c r="C183" s="6" t="str">
        <f aca="false">Sheet2_Cleaned_Data!C183</f>
        <v>West</v>
      </c>
      <c r="D183" s="6" t="str">
        <f aca="false">Sheet2_Cleaned_Data!D183</f>
        <v>Airport</v>
      </c>
      <c r="E183" s="15" t="n">
        <f aca="false">Sheet2_Cleaned_Data!M183</f>
        <v>781955.52</v>
      </c>
      <c r="F183" s="16" t="n">
        <f aca="false">Sheet5_Multiple_Regression!$J$6+Sheet5_Multiple_Regression!$J$7*Sheet5_Multiple_Regression!A184+Sheet5_Multiple_Regression!$J$8*Sheet5_Multiple_Regression!B184+Sheet5_Multiple_Regression!$J$9*Sheet5_Multiple_Regression!C184+Sheet5_Multiple_Regression!$J$10*Sheet5_Multiple_Regression!D184+Sheet5_Multiple_Regression!$J$11*Sheet5_Multiple_Regression!E184+Sheet5_Multiple_Regression!$J$12*Sheet5_Multiple_Regression!F184+Sheet5_Multiple_Regression!$J$13*Sheet5_Multiple_Regression!G184</f>
        <v>762153.789683718</v>
      </c>
      <c r="G183" s="16" t="n">
        <f aca="false">E183-F183</f>
        <v>19801.7303162817</v>
      </c>
    </row>
    <row r="184" customFormat="false" ht="15" hidden="false" customHeight="false" outlineLevel="0" collapsed="false">
      <c r="A184" s="6" t="str">
        <f aca="false">Sheet2_Cleaned_Data!A184</f>
        <v>STR-1045</v>
      </c>
      <c r="B184" s="6" t="str">
        <f aca="false">Sheet2_Cleaned_Data!B184</f>
        <v>2025-04-01</v>
      </c>
      <c r="C184" s="6" t="str">
        <f aca="false">Sheet2_Cleaned_Data!C184</f>
        <v>West</v>
      </c>
      <c r="D184" s="6" t="str">
        <f aca="false">Sheet2_Cleaned_Data!D184</f>
        <v>Airport</v>
      </c>
      <c r="E184" s="15" t="n">
        <f aca="false">Sheet2_Cleaned_Data!M184</f>
        <v>898031.04</v>
      </c>
      <c r="F184" s="16" t="n">
        <f aca="false">Sheet5_Multiple_Regression!$J$6+Sheet5_Multiple_Regression!$J$7*Sheet5_Multiple_Regression!A185+Sheet5_Multiple_Regression!$J$8*Sheet5_Multiple_Regression!B185+Sheet5_Multiple_Regression!$J$9*Sheet5_Multiple_Regression!C185+Sheet5_Multiple_Regression!$J$10*Sheet5_Multiple_Regression!D185+Sheet5_Multiple_Regression!$J$11*Sheet5_Multiple_Regression!E185+Sheet5_Multiple_Regression!$J$12*Sheet5_Multiple_Regression!F185+Sheet5_Multiple_Regression!$J$13*Sheet5_Multiple_Regression!G185</f>
        <v>850844.840748084</v>
      </c>
      <c r="G184" s="16" t="n">
        <f aca="false">E184-F184</f>
        <v>47186.1992519163</v>
      </c>
    </row>
    <row r="185" customFormat="false" ht="15" hidden="false" customHeight="false" outlineLevel="0" collapsed="false">
      <c r="A185" s="6" t="str">
        <f aca="false">Sheet2_Cleaned_Data!A185</f>
        <v>STR-1046</v>
      </c>
      <c r="B185" s="6" t="str">
        <f aca="false">Sheet2_Cleaned_Data!B185</f>
        <v>2025-01-01</v>
      </c>
      <c r="C185" s="6" t="str">
        <f aca="false">Sheet2_Cleaned_Data!C185</f>
        <v>West</v>
      </c>
      <c r="D185" s="6" t="str">
        <f aca="false">Sheet2_Cleaned_Data!D185</f>
        <v>Residential</v>
      </c>
      <c r="E185" s="15" t="n">
        <f aca="false">Sheet2_Cleaned_Data!M185</f>
        <v>855341.28</v>
      </c>
      <c r="F185" s="16" t="n">
        <f aca="false">Sheet5_Multiple_Regression!$J$6+Sheet5_Multiple_Regression!$J$7*Sheet5_Multiple_Regression!A186+Sheet5_Multiple_Regression!$J$8*Sheet5_Multiple_Regression!B186+Sheet5_Multiple_Regression!$J$9*Sheet5_Multiple_Regression!C186+Sheet5_Multiple_Regression!$J$10*Sheet5_Multiple_Regression!D186+Sheet5_Multiple_Regression!$J$11*Sheet5_Multiple_Regression!E186+Sheet5_Multiple_Regression!$J$12*Sheet5_Multiple_Regression!F186+Sheet5_Multiple_Regression!$J$13*Sheet5_Multiple_Regression!G186</f>
        <v>843904.452453913</v>
      </c>
      <c r="G185" s="16" t="n">
        <f aca="false">E185-F185</f>
        <v>11436.8275460872</v>
      </c>
    </row>
    <row r="186" customFormat="false" ht="15" hidden="false" customHeight="false" outlineLevel="0" collapsed="false">
      <c r="A186" s="6" t="str">
        <f aca="false">Sheet2_Cleaned_Data!A186</f>
        <v>STR-1046</v>
      </c>
      <c r="B186" s="6" t="str">
        <f aca="false">Sheet2_Cleaned_Data!B186</f>
        <v>2025-02-01</v>
      </c>
      <c r="C186" s="6" t="str">
        <f aca="false">Sheet2_Cleaned_Data!C186</f>
        <v>West</v>
      </c>
      <c r="D186" s="6" t="str">
        <f aca="false">Sheet2_Cleaned_Data!D186</f>
        <v>Residential</v>
      </c>
      <c r="E186" s="15" t="n">
        <f aca="false">Sheet2_Cleaned_Data!M186</f>
        <v>751393.88</v>
      </c>
      <c r="F186" s="16" t="n">
        <f aca="false">Sheet5_Multiple_Regression!$J$6+Sheet5_Multiple_Regression!$J$7*Sheet5_Multiple_Regression!A187+Sheet5_Multiple_Regression!$J$8*Sheet5_Multiple_Regression!B187+Sheet5_Multiple_Regression!$J$9*Sheet5_Multiple_Regression!C187+Sheet5_Multiple_Regression!$J$10*Sheet5_Multiple_Regression!D187+Sheet5_Multiple_Regression!$J$11*Sheet5_Multiple_Regression!E187+Sheet5_Multiple_Regression!$J$12*Sheet5_Multiple_Regression!F187+Sheet5_Multiple_Regression!$J$13*Sheet5_Multiple_Regression!G187</f>
        <v>736665.664916482</v>
      </c>
      <c r="G186" s="16" t="n">
        <f aca="false">E186-F186</f>
        <v>14728.215083518</v>
      </c>
    </row>
    <row r="187" customFormat="false" ht="15" hidden="false" customHeight="false" outlineLevel="0" collapsed="false">
      <c r="A187" s="6" t="str">
        <f aca="false">Sheet2_Cleaned_Data!A187</f>
        <v>STR-1046</v>
      </c>
      <c r="B187" s="6" t="str">
        <f aca="false">Sheet2_Cleaned_Data!B187</f>
        <v>2025-03-01</v>
      </c>
      <c r="C187" s="6" t="str">
        <f aca="false">Sheet2_Cleaned_Data!C187</f>
        <v>West</v>
      </c>
      <c r="D187" s="6" t="str">
        <f aca="false">Sheet2_Cleaned_Data!D187</f>
        <v>Residential</v>
      </c>
      <c r="E187" s="15" t="n">
        <f aca="false">Sheet2_Cleaned_Data!M187</f>
        <v>761077.08</v>
      </c>
      <c r="F187" s="16" t="n">
        <f aca="false">Sheet5_Multiple_Regression!$J$6+Sheet5_Multiple_Regression!$J$7*Sheet5_Multiple_Regression!A188+Sheet5_Multiple_Regression!$J$8*Sheet5_Multiple_Regression!B188+Sheet5_Multiple_Regression!$J$9*Sheet5_Multiple_Regression!C188+Sheet5_Multiple_Regression!$J$10*Sheet5_Multiple_Regression!D188+Sheet5_Multiple_Regression!$J$11*Sheet5_Multiple_Regression!E188+Sheet5_Multiple_Regression!$J$12*Sheet5_Multiple_Regression!F188+Sheet5_Multiple_Regression!$J$13*Sheet5_Multiple_Regression!G188</f>
        <v>747924.697782887</v>
      </c>
      <c r="G187" s="16" t="n">
        <f aca="false">E187-F187</f>
        <v>13152.3822171128</v>
      </c>
    </row>
    <row r="188" customFormat="false" ht="15" hidden="false" customHeight="false" outlineLevel="0" collapsed="false">
      <c r="A188" s="6" t="str">
        <f aca="false">Sheet2_Cleaned_Data!A188</f>
        <v>STR-1046</v>
      </c>
      <c r="B188" s="6" t="str">
        <f aca="false">Sheet2_Cleaned_Data!B188</f>
        <v>2025-04-01</v>
      </c>
      <c r="C188" s="6" t="str">
        <f aca="false">Sheet2_Cleaned_Data!C188</f>
        <v>West</v>
      </c>
      <c r="D188" s="6" t="str">
        <f aca="false">Sheet2_Cleaned_Data!D188</f>
        <v>Residential</v>
      </c>
      <c r="E188" s="15" t="n">
        <f aca="false">Sheet2_Cleaned_Data!M188</f>
        <v>819660.59</v>
      </c>
      <c r="F188" s="16" t="n">
        <f aca="false">Sheet5_Multiple_Regression!$J$6+Sheet5_Multiple_Regression!$J$7*Sheet5_Multiple_Regression!A189+Sheet5_Multiple_Regression!$J$8*Sheet5_Multiple_Regression!B189+Sheet5_Multiple_Regression!$J$9*Sheet5_Multiple_Regression!C189+Sheet5_Multiple_Regression!$J$10*Sheet5_Multiple_Regression!D189+Sheet5_Multiple_Regression!$J$11*Sheet5_Multiple_Regression!E189+Sheet5_Multiple_Regression!$J$12*Sheet5_Multiple_Regression!F189+Sheet5_Multiple_Regression!$J$13*Sheet5_Multiple_Regression!G189</f>
        <v>815749.459926269</v>
      </c>
      <c r="G188" s="16" t="n">
        <f aca="false">E188-F188</f>
        <v>3911.13007373142</v>
      </c>
    </row>
    <row r="189" customFormat="false" ht="15" hidden="false" customHeight="false" outlineLevel="0" collapsed="false">
      <c r="A189" s="6" t="str">
        <f aca="false">Sheet2_Cleaned_Data!A189</f>
        <v>STR-1047</v>
      </c>
      <c r="B189" s="6" t="str">
        <f aca="false">Sheet2_Cleaned_Data!B189</f>
        <v>2025-01-01</v>
      </c>
      <c r="C189" s="6" t="str">
        <f aca="false">Sheet2_Cleaned_Data!C189</f>
        <v>North</v>
      </c>
      <c r="D189" s="6" t="str">
        <f aca="false">Sheet2_Cleaned_Data!D189</f>
        <v>High Street</v>
      </c>
      <c r="E189" s="15" t="n">
        <f aca="false">Sheet2_Cleaned_Data!M189</f>
        <v>681855.56</v>
      </c>
      <c r="F189" s="16" t="n">
        <f aca="false">Sheet5_Multiple_Regression!$J$6+Sheet5_Multiple_Regression!$J$7*Sheet5_Multiple_Regression!A190+Sheet5_Multiple_Regression!$J$8*Sheet5_Multiple_Regression!B190+Sheet5_Multiple_Regression!$J$9*Sheet5_Multiple_Regression!C190+Sheet5_Multiple_Regression!$J$10*Sheet5_Multiple_Regression!D190+Sheet5_Multiple_Regression!$J$11*Sheet5_Multiple_Regression!E190+Sheet5_Multiple_Regression!$J$12*Sheet5_Multiple_Regression!F190+Sheet5_Multiple_Regression!$J$13*Sheet5_Multiple_Regression!G190</f>
        <v>702545.076161225</v>
      </c>
      <c r="G189" s="16" t="n">
        <f aca="false">E189-F189</f>
        <v>-20689.5161612253</v>
      </c>
    </row>
    <row r="190" customFormat="false" ht="15" hidden="false" customHeight="false" outlineLevel="0" collapsed="false">
      <c r="A190" s="6" t="str">
        <f aca="false">Sheet2_Cleaned_Data!A190</f>
        <v>STR-1047</v>
      </c>
      <c r="B190" s="6" t="str">
        <f aca="false">Sheet2_Cleaned_Data!B190</f>
        <v>2025-02-01</v>
      </c>
      <c r="C190" s="6" t="str">
        <f aca="false">Sheet2_Cleaned_Data!C190</f>
        <v>North</v>
      </c>
      <c r="D190" s="6" t="str">
        <f aca="false">Sheet2_Cleaned_Data!D190</f>
        <v>High Street</v>
      </c>
      <c r="E190" s="15" t="n">
        <f aca="false">Sheet2_Cleaned_Data!M190</f>
        <v>678311.17</v>
      </c>
      <c r="F190" s="16" t="n">
        <f aca="false">Sheet5_Multiple_Regression!$J$6+Sheet5_Multiple_Regression!$J$7*Sheet5_Multiple_Regression!A191+Sheet5_Multiple_Regression!$J$8*Sheet5_Multiple_Regression!B191+Sheet5_Multiple_Regression!$J$9*Sheet5_Multiple_Regression!C191+Sheet5_Multiple_Regression!$J$10*Sheet5_Multiple_Regression!D191+Sheet5_Multiple_Regression!$J$11*Sheet5_Multiple_Regression!E191+Sheet5_Multiple_Regression!$J$12*Sheet5_Multiple_Regression!F191+Sheet5_Multiple_Regression!$J$13*Sheet5_Multiple_Regression!G191</f>
        <v>657452.492213834</v>
      </c>
      <c r="G190" s="16" t="n">
        <f aca="false">E190-F190</f>
        <v>20858.6777861663</v>
      </c>
    </row>
    <row r="191" customFormat="false" ht="15" hidden="false" customHeight="false" outlineLevel="0" collapsed="false">
      <c r="A191" s="6" t="str">
        <f aca="false">Sheet2_Cleaned_Data!A191</f>
        <v>STR-1047</v>
      </c>
      <c r="B191" s="6" t="str">
        <f aca="false">Sheet2_Cleaned_Data!B191</f>
        <v>2025-03-01</v>
      </c>
      <c r="C191" s="6" t="str">
        <f aca="false">Sheet2_Cleaned_Data!C191</f>
        <v>North</v>
      </c>
      <c r="D191" s="6" t="str">
        <f aca="false">Sheet2_Cleaned_Data!D191</f>
        <v>High Street</v>
      </c>
      <c r="E191" s="15" t="n">
        <f aca="false">Sheet2_Cleaned_Data!M191</f>
        <v>765906.95</v>
      </c>
      <c r="F191" s="16" t="n">
        <f aca="false">Sheet5_Multiple_Regression!$J$6+Sheet5_Multiple_Regression!$J$7*Sheet5_Multiple_Regression!A192+Sheet5_Multiple_Regression!$J$8*Sheet5_Multiple_Regression!B192+Sheet5_Multiple_Regression!$J$9*Sheet5_Multiple_Regression!C192+Sheet5_Multiple_Regression!$J$10*Sheet5_Multiple_Regression!D192+Sheet5_Multiple_Regression!$J$11*Sheet5_Multiple_Regression!E192+Sheet5_Multiple_Regression!$J$12*Sheet5_Multiple_Regression!F192+Sheet5_Multiple_Regression!$J$13*Sheet5_Multiple_Regression!G192</f>
        <v>705422.244171777</v>
      </c>
      <c r="G191" s="16" t="n">
        <f aca="false">E191-F191</f>
        <v>60484.7058282229</v>
      </c>
    </row>
    <row r="192" customFormat="false" ht="15" hidden="false" customHeight="false" outlineLevel="0" collapsed="false">
      <c r="A192" s="6" t="str">
        <f aca="false">Sheet2_Cleaned_Data!A192</f>
        <v>STR-1047</v>
      </c>
      <c r="B192" s="6" t="str">
        <f aca="false">Sheet2_Cleaned_Data!B192</f>
        <v>2025-04-01</v>
      </c>
      <c r="C192" s="6" t="str">
        <f aca="false">Sheet2_Cleaned_Data!C192</f>
        <v>North</v>
      </c>
      <c r="D192" s="6" t="str">
        <f aca="false">Sheet2_Cleaned_Data!D192</f>
        <v>High Street</v>
      </c>
      <c r="E192" s="15" t="n">
        <f aca="false">Sheet2_Cleaned_Data!M192</f>
        <v>712546.38</v>
      </c>
      <c r="F192" s="16" t="n">
        <f aca="false">Sheet5_Multiple_Regression!$J$6+Sheet5_Multiple_Regression!$J$7*Sheet5_Multiple_Regression!A193+Sheet5_Multiple_Regression!$J$8*Sheet5_Multiple_Regression!B193+Sheet5_Multiple_Regression!$J$9*Sheet5_Multiple_Regression!C193+Sheet5_Multiple_Regression!$J$10*Sheet5_Multiple_Regression!D193+Sheet5_Multiple_Regression!$J$11*Sheet5_Multiple_Regression!E193+Sheet5_Multiple_Regression!$J$12*Sheet5_Multiple_Regression!F193+Sheet5_Multiple_Regression!$J$13*Sheet5_Multiple_Regression!G193</f>
        <v>708020.87989564</v>
      </c>
      <c r="G192" s="16" t="n">
        <f aca="false">E192-F192</f>
        <v>4525.5001043597</v>
      </c>
    </row>
    <row r="193" customFormat="false" ht="15" hidden="false" customHeight="false" outlineLevel="0" collapsed="false">
      <c r="A193" s="6" t="str">
        <f aca="false">Sheet2_Cleaned_Data!A193</f>
        <v>STR-1048</v>
      </c>
      <c r="B193" s="6" t="str">
        <f aca="false">Sheet2_Cleaned_Data!B193</f>
        <v>2025-01-01</v>
      </c>
      <c r="C193" s="6" t="str">
        <f aca="false">Sheet2_Cleaned_Data!C193</f>
        <v>East</v>
      </c>
      <c r="D193" s="6" t="str">
        <f aca="false">Sheet2_Cleaned_Data!D193</f>
        <v>High Street</v>
      </c>
      <c r="E193" s="15" t="n">
        <f aca="false">Sheet2_Cleaned_Data!M193</f>
        <v>625993.83</v>
      </c>
      <c r="F193" s="16" t="n">
        <f aca="false">Sheet5_Multiple_Regression!$J$6+Sheet5_Multiple_Regression!$J$7*Sheet5_Multiple_Regression!A194+Sheet5_Multiple_Regression!$J$8*Sheet5_Multiple_Regression!B194+Sheet5_Multiple_Regression!$J$9*Sheet5_Multiple_Regression!C194+Sheet5_Multiple_Regression!$J$10*Sheet5_Multiple_Regression!D194+Sheet5_Multiple_Regression!$J$11*Sheet5_Multiple_Regression!E194+Sheet5_Multiple_Regression!$J$12*Sheet5_Multiple_Regression!F194+Sheet5_Multiple_Regression!$J$13*Sheet5_Multiple_Regression!G194</f>
        <v>597742.488017341</v>
      </c>
      <c r="G193" s="16" t="n">
        <f aca="false">E193-F193</f>
        <v>28251.341982659</v>
      </c>
    </row>
    <row r="194" customFormat="false" ht="15" hidden="false" customHeight="false" outlineLevel="0" collapsed="false">
      <c r="A194" s="6" t="str">
        <f aca="false">Sheet2_Cleaned_Data!A194</f>
        <v>STR-1048</v>
      </c>
      <c r="B194" s="6" t="str">
        <f aca="false">Sheet2_Cleaned_Data!B194</f>
        <v>2025-02-01</v>
      </c>
      <c r="C194" s="6" t="str">
        <f aca="false">Sheet2_Cleaned_Data!C194</f>
        <v>East</v>
      </c>
      <c r="D194" s="6" t="str">
        <f aca="false">Sheet2_Cleaned_Data!D194</f>
        <v>High Street</v>
      </c>
      <c r="E194" s="15" t="n">
        <f aca="false">Sheet2_Cleaned_Data!M194</f>
        <v>550962.93</v>
      </c>
      <c r="F194" s="16" t="n">
        <f aca="false">Sheet5_Multiple_Regression!$J$6+Sheet5_Multiple_Regression!$J$7*Sheet5_Multiple_Regression!A195+Sheet5_Multiple_Regression!$J$8*Sheet5_Multiple_Regression!B195+Sheet5_Multiple_Regression!$J$9*Sheet5_Multiple_Regression!C195+Sheet5_Multiple_Regression!$J$10*Sheet5_Multiple_Regression!D195+Sheet5_Multiple_Regression!$J$11*Sheet5_Multiple_Regression!E195+Sheet5_Multiple_Regression!$J$12*Sheet5_Multiple_Regression!F195+Sheet5_Multiple_Regression!$J$13*Sheet5_Multiple_Regression!G195</f>
        <v>550358.74312734</v>
      </c>
      <c r="G194" s="16" t="n">
        <f aca="false">E194-F194</f>
        <v>604.186872660415</v>
      </c>
    </row>
    <row r="195" customFormat="false" ht="15" hidden="false" customHeight="false" outlineLevel="0" collapsed="false">
      <c r="A195" s="6" t="str">
        <f aca="false">Sheet2_Cleaned_Data!A195</f>
        <v>STR-1048</v>
      </c>
      <c r="B195" s="6" t="str">
        <f aca="false">Sheet2_Cleaned_Data!B195</f>
        <v>2025-03-01</v>
      </c>
      <c r="C195" s="6" t="str">
        <f aca="false">Sheet2_Cleaned_Data!C195</f>
        <v>East</v>
      </c>
      <c r="D195" s="6" t="str">
        <f aca="false">Sheet2_Cleaned_Data!D195</f>
        <v>High Street</v>
      </c>
      <c r="E195" s="15" t="n">
        <f aca="false">Sheet2_Cleaned_Data!M195</f>
        <v>443275.59</v>
      </c>
      <c r="F195" s="16" t="n">
        <f aca="false">Sheet5_Multiple_Regression!$J$6+Sheet5_Multiple_Regression!$J$7*Sheet5_Multiple_Regression!A196+Sheet5_Multiple_Regression!$J$8*Sheet5_Multiple_Regression!B196+Sheet5_Multiple_Regression!$J$9*Sheet5_Multiple_Regression!C196+Sheet5_Multiple_Regression!$J$10*Sheet5_Multiple_Regression!D196+Sheet5_Multiple_Regression!$J$11*Sheet5_Multiple_Regression!E196+Sheet5_Multiple_Regression!$J$12*Sheet5_Multiple_Regression!F196+Sheet5_Multiple_Regression!$J$13*Sheet5_Multiple_Regression!G196</f>
        <v>460686.118990613</v>
      </c>
      <c r="G195" s="16" t="n">
        <f aca="false">E195-F195</f>
        <v>-17410.5289906125</v>
      </c>
    </row>
    <row r="196" customFormat="false" ht="15" hidden="false" customHeight="false" outlineLevel="0" collapsed="false">
      <c r="A196" s="6" t="str">
        <f aca="false">Sheet2_Cleaned_Data!A196</f>
        <v>STR-1048</v>
      </c>
      <c r="B196" s="6" t="str">
        <f aca="false">Sheet2_Cleaned_Data!B196</f>
        <v>2025-04-01</v>
      </c>
      <c r="C196" s="6" t="str">
        <f aca="false">Sheet2_Cleaned_Data!C196</f>
        <v>East</v>
      </c>
      <c r="D196" s="6" t="str">
        <f aca="false">Sheet2_Cleaned_Data!D196</f>
        <v>High Street</v>
      </c>
      <c r="E196" s="15" t="n">
        <f aca="false">Sheet2_Cleaned_Data!M196</f>
        <v>554012.07</v>
      </c>
      <c r="F196" s="16" t="n">
        <f aca="false">Sheet5_Multiple_Regression!$J$6+Sheet5_Multiple_Regression!$J$7*Sheet5_Multiple_Regression!A197+Sheet5_Multiple_Regression!$J$8*Sheet5_Multiple_Regression!B197+Sheet5_Multiple_Regression!$J$9*Sheet5_Multiple_Regression!C197+Sheet5_Multiple_Regression!$J$10*Sheet5_Multiple_Regression!D197+Sheet5_Multiple_Regression!$J$11*Sheet5_Multiple_Regression!E197+Sheet5_Multiple_Regression!$J$12*Sheet5_Multiple_Regression!F197+Sheet5_Multiple_Regression!$J$13*Sheet5_Multiple_Regression!G197</f>
        <v>605120.793575507</v>
      </c>
      <c r="G196" s="16" t="n">
        <f aca="false">E196-F196</f>
        <v>-51108.7235755066</v>
      </c>
    </row>
    <row r="197" customFormat="false" ht="15" hidden="false" customHeight="false" outlineLevel="0" collapsed="false">
      <c r="A197" s="6" t="str">
        <f aca="false">Sheet2_Cleaned_Data!A197</f>
        <v>STR-1049</v>
      </c>
      <c r="B197" s="6" t="str">
        <f aca="false">Sheet2_Cleaned_Data!B197</f>
        <v>2025-01-01</v>
      </c>
      <c r="C197" s="6" t="str">
        <f aca="false">Sheet2_Cleaned_Data!C197</f>
        <v>West</v>
      </c>
      <c r="D197" s="6" t="str">
        <f aca="false">Sheet2_Cleaned_Data!D197</f>
        <v>Residential</v>
      </c>
      <c r="E197" s="15" t="n">
        <f aca="false">Sheet2_Cleaned_Data!M197</f>
        <v>643428.85</v>
      </c>
      <c r="F197" s="16" t="n">
        <f aca="false">Sheet5_Multiple_Regression!$J$6+Sheet5_Multiple_Regression!$J$7*Sheet5_Multiple_Regression!A198+Sheet5_Multiple_Regression!$J$8*Sheet5_Multiple_Regression!B198+Sheet5_Multiple_Regression!$J$9*Sheet5_Multiple_Regression!C198+Sheet5_Multiple_Regression!$J$10*Sheet5_Multiple_Regression!D198+Sheet5_Multiple_Regression!$J$11*Sheet5_Multiple_Regression!E198+Sheet5_Multiple_Regression!$J$12*Sheet5_Multiple_Regression!F198+Sheet5_Multiple_Regression!$J$13*Sheet5_Multiple_Regression!G198</f>
        <v>677758.441513058</v>
      </c>
      <c r="G197" s="16" t="n">
        <f aca="false">E197-F197</f>
        <v>-34329.5915130577</v>
      </c>
    </row>
    <row r="198" customFormat="false" ht="15" hidden="false" customHeight="false" outlineLevel="0" collapsed="false">
      <c r="A198" s="6" t="str">
        <f aca="false">Sheet2_Cleaned_Data!A198</f>
        <v>STR-1049</v>
      </c>
      <c r="B198" s="6" t="str">
        <f aca="false">Sheet2_Cleaned_Data!B198</f>
        <v>2025-02-01</v>
      </c>
      <c r="C198" s="6" t="str">
        <f aca="false">Sheet2_Cleaned_Data!C198</f>
        <v>West</v>
      </c>
      <c r="D198" s="6" t="str">
        <f aca="false">Sheet2_Cleaned_Data!D198</f>
        <v>Residential</v>
      </c>
      <c r="E198" s="15" t="n">
        <f aca="false">Sheet2_Cleaned_Data!M198</f>
        <v>611924.27</v>
      </c>
      <c r="F198" s="16" t="n">
        <f aca="false">Sheet5_Multiple_Regression!$J$6+Sheet5_Multiple_Regression!$J$7*Sheet5_Multiple_Regression!A199+Sheet5_Multiple_Regression!$J$8*Sheet5_Multiple_Regression!B199+Sheet5_Multiple_Regression!$J$9*Sheet5_Multiple_Regression!C199+Sheet5_Multiple_Regression!$J$10*Sheet5_Multiple_Regression!D199+Sheet5_Multiple_Regression!$J$11*Sheet5_Multiple_Regression!E199+Sheet5_Multiple_Regression!$J$12*Sheet5_Multiple_Regression!F199+Sheet5_Multiple_Regression!$J$13*Sheet5_Multiple_Regression!G199</f>
        <v>610072.835145818</v>
      </c>
      <c r="G198" s="16" t="n">
        <f aca="false">E198-F198</f>
        <v>1851.43485418207</v>
      </c>
    </row>
    <row r="199" customFormat="false" ht="15" hidden="false" customHeight="false" outlineLevel="0" collapsed="false">
      <c r="A199" s="6" t="str">
        <f aca="false">Sheet2_Cleaned_Data!A199</f>
        <v>STR-1049</v>
      </c>
      <c r="B199" s="6" t="str">
        <f aca="false">Sheet2_Cleaned_Data!B199</f>
        <v>2025-03-01</v>
      </c>
      <c r="C199" s="6" t="str">
        <f aca="false">Sheet2_Cleaned_Data!C199</f>
        <v>West</v>
      </c>
      <c r="D199" s="6" t="str">
        <f aca="false">Sheet2_Cleaned_Data!D199</f>
        <v>Residential</v>
      </c>
      <c r="E199" s="15" t="n">
        <f aca="false">Sheet2_Cleaned_Data!M199</f>
        <v>559422.02</v>
      </c>
      <c r="F199" s="16" t="n">
        <f aca="false">Sheet5_Multiple_Regression!$J$6+Sheet5_Multiple_Regression!$J$7*Sheet5_Multiple_Regression!A200+Sheet5_Multiple_Regression!$J$8*Sheet5_Multiple_Regression!B200+Sheet5_Multiple_Regression!$J$9*Sheet5_Multiple_Regression!C200+Sheet5_Multiple_Regression!$J$10*Sheet5_Multiple_Regression!D200+Sheet5_Multiple_Regression!$J$11*Sheet5_Multiple_Regression!E200+Sheet5_Multiple_Regression!$J$12*Sheet5_Multiple_Regression!F200+Sheet5_Multiple_Regression!$J$13*Sheet5_Multiple_Regression!G200</f>
        <v>549226.175141424</v>
      </c>
      <c r="G199" s="16" t="n">
        <f aca="false">E199-F199</f>
        <v>10195.8448585758</v>
      </c>
    </row>
    <row r="200" customFormat="false" ht="15" hidden="false" customHeight="false" outlineLevel="0" collapsed="false">
      <c r="A200" s="6" t="str">
        <f aca="false">Sheet2_Cleaned_Data!A200</f>
        <v>STR-1049</v>
      </c>
      <c r="B200" s="6" t="str">
        <f aca="false">Sheet2_Cleaned_Data!B200</f>
        <v>2025-04-01</v>
      </c>
      <c r="C200" s="6" t="str">
        <f aca="false">Sheet2_Cleaned_Data!C200</f>
        <v>West</v>
      </c>
      <c r="D200" s="6" t="str">
        <f aca="false">Sheet2_Cleaned_Data!D200</f>
        <v>Residential</v>
      </c>
      <c r="E200" s="15" t="n">
        <f aca="false">Sheet2_Cleaned_Data!M200</f>
        <v>449465.06</v>
      </c>
      <c r="F200" s="16" t="n">
        <f aca="false">Sheet5_Multiple_Regression!$J$6+Sheet5_Multiple_Regression!$J$7*Sheet5_Multiple_Regression!A201+Sheet5_Multiple_Regression!$J$8*Sheet5_Multiple_Regression!B201+Sheet5_Multiple_Regression!$J$9*Sheet5_Multiple_Regression!C201+Sheet5_Multiple_Regression!$J$10*Sheet5_Multiple_Regression!D201+Sheet5_Multiple_Regression!$J$11*Sheet5_Multiple_Regression!E201+Sheet5_Multiple_Regression!$J$12*Sheet5_Multiple_Regression!F201+Sheet5_Multiple_Regression!$J$13*Sheet5_Multiple_Regression!G201</f>
        <v>517236.64236771</v>
      </c>
      <c r="G200" s="16" t="n">
        <f aca="false">E200-F200</f>
        <v>-67771.5823677095</v>
      </c>
    </row>
    <row r="201" customFormat="false" ht="15" hidden="false" customHeight="false" outlineLevel="0" collapsed="false">
      <c r="A201" s="6" t="str">
        <f aca="false">Sheet2_Cleaned_Data!A201</f>
        <v>STR-1050</v>
      </c>
      <c r="B201" s="6" t="str">
        <f aca="false">Sheet2_Cleaned_Data!B201</f>
        <v>2025-01-01</v>
      </c>
      <c r="C201" s="6" t="str">
        <f aca="false">Sheet2_Cleaned_Data!C201</f>
        <v>North</v>
      </c>
      <c r="D201" s="6" t="str">
        <f aca="false">Sheet2_Cleaned_Data!D201</f>
        <v>Residential</v>
      </c>
      <c r="E201" s="15" t="n">
        <f aca="false">Sheet2_Cleaned_Data!M201</f>
        <v>691447.43</v>
      </c>
      <c r="F201" s="16" t="n">
        <f aca="false">Sheet5_Multiple_Regression!$J$6+Sheet5_Multiple_Regression!$J$7*Sheet5_Multiple_Regression!A202+Sheet5_Multiple_Regression!$J$8*Sheet5_Multiple_Regression!B202+Sheet5_Multiple_Regression!$J$9*Sheet5_Multiple_Regression!C202+Sheet5_Multiple_Regression!$J$10*Sheet5_Multiple_Regression!D202+Sheet5_Multiple_Regression!$J$11*Sheet5_Multiple_Regression!E202+Sheet5_Multiple_Regression!$J$12*Sheet5_Multiple_Regression!F202+Sheet5_Multiple_Regression!$J$13*Sheet5_Multiple_Regression!G202</f>
        <v>634525.145421287</v>
      </c>
      <c r="G201" s="16" t="n">
        <f aca="false">E201-F201</f>
        <v>56922.2845787132</v>
      </c>
    </row>
    <row r="202" customFormat="false" ht="15" hidden="false" customHeight="false" outlineLevel="0" collapsed="false">
      <c r="A202" s="6" t="str">
        <f aca="false">Sheet2_Cleaned_Data!A202</f>
        <v>STR-1050</v>
      </c>
      <c r="B202" s="6" t="str">
        <f aca="false">Sheet2_Cleaned_Data!B202</f>
        <v>2025-02-01</v>
      </c>
      <c r="C202" s="6" t="str">
        <f aca="false">Sheet2_Cleaned_Data!C202</f>
        <v>North</v>
      </c>
      <c r="D202" s="6" t="str">
        <f aca="false">Sheet2_Cleaned_Data!D202</f>
        <v>Residential</v>
      </c>
      <c r="E202" s="15" t="n">
        <f aca="false">Sheet2_Cleaned_Data!M202</f>
        <v>574066.61</v>
      </c>
      <c r="F202" s="16" t="n">
        <f aca="false">Sheet5_Multiple_Regression!$J$6+Sheet5_Multiple_Regression!$J$7*Sheet5_Multiple_Regression!A203+Sheet5_Multiple_Regression!$J$8*Sheet5_Multiple_Regression!B203+Sheet5_Multiple_Regression!$J$9*Sheet5_Multiple_Regression!C203+Sheet5_Multiple_Regression!$J$10*Sheet5_Multiple_Regression!D203+Sheet5_Multiple_Regression!$J$11*Sheet5_Multiple_Regression!E203+Sheet5_Multiple_Regression!$J$12*Sheet5_Multiple_Regression!F203+Sheet5_Multiple_Regression!$J$13*Sheet5_Multiple_Regression!G203</f>
        <v>600573.977299074</v>
      </c>
      <c r="G202" s="16" t="n">
        <f aca="false">E202-F202</f>
        <v>-26507.3672990737</v>
      </c>
    </row>
    <row r="203" customFormat="false" ht="15" hidden="false" customHeight="false" outlineLevel="0" collapsed="false">
      <c r="A203" s="6" t="str">
        <f aca="false">Sheet2_Cleaned_Data!A203</f>
        <v>STR-1050</v>
      </c>
      <c r="B203" s="6" t="str">
        <f aca="false">Sheet2_Cleaned_Data!B203</f>
        <v>2025-03-01</v>
      </c>
      <c r="C203" s="6" t="str">
        <f aca="false">Sheet2_Cleaned_Data!C203</f>
        <v>North</v>
      </c>
      <c r="D203" s="6" t="str">
        <f aca="false">Sheet2_Cleaned_Data!D203</f>
        <v>Residential</v>
      </c>
      <c r="E203" s="15" t="n">
        <f aca="false">Sheet2_Cleaned_Data!M203</f>
        <v>578949.84</v>
      </c>
      <c r="F203" s="16" t="n">
        <f aca="false">Sheet5_Multiple_Regression!$J$6+Sheet5_Multiple_Regression!$J$7*Sheet5_Multiple_Regression!A204+Sheet5_Multiple_Regression!$J$8*Sheet5_Multiple_Regression!B204+Sheet5_Multiple_Regression!$J$9*Sheet5_Multiple_Regression!C204+Sheet5_Multiple_Regression!$J$10*Sheet5_Multiple_Regression!D204+Sheet5_Multiple_Regression!$J$11*Sheet5_Multiple_Regression!E204+Sheet5_Multiple_Regression!$J$12*Sheet5_Multiple_Regression!F204+Sheet5_Multiple_Regression!$J$13*Sheet5_Multiple_Regression!G204</f>
        <v>593928.392676244</v>
      </c>
      <c r="G203" s="16" t="n">
        <f aca="false">E203-F203</f>
        <v>-14978.5526762436</v>
      </c>
    </row>
    <row r="204" customFormat="false" ht="15" hidden="false" customHeight="false" outlineLevel="0" collapsed="false">
      <c r="A204" s="6" t="str">
        <f aca="false">Sheet2_Cleaned_Data!A204</f>
        <v>STR-1050</v>
      </c>
      <c r="B204" s="6" t="str">
        <f aca="false">Sheet2_Cleaned_Data!B204</f>
        <v>2025-04-01</v>
      </c>
      <c r="C204" s="6" t="str">
        <f aca="false">Sheet2_Cleaned_Data!C204</f>
        <v>North</v>
      </c>
      <c r="D204" s="6" t="str">
        <f aca="false">Sheet2_Cleaned_Data!D204</f>
        <v>Residential</v>
      </c>
      <c r="E204" s="15" t="n">
        <f aca="false">Sheet2_Cleaned_Data!M204</f>
        <v>735786.64</v>
      </c>
      <c r="F204" s="16" t="n">
        <f aca="false">Sheet5_Multiple_Regression!$J$6+Sheet5_Multiple_Regression!$J$7*Sheet5_Multiple_Regression!A205+Sheet5_Multiple_Regression!$J$8*Sheet5_Multiple_Regression!B205+Sheet5_Multiple_Regression!$J$9*Sheet5_Multiple_Regression!C205+Sheet5_Multiple_Regression!$J$10*Sheet5_Multiple_Regression!D205+Sheet5_Multiple_Regression!$J$11*Sheet5_Multiple_Regression!E205+Sheet5_Multiple_Regression!$J$12*Sheet5_Multiple_Regression!F205+Sheet5_Multiple_Regression!$J$13*Sheet5_Multiple_Regression!G205</f>
        <v>638540.147111193</v>
      </c>
      <c r="G204" s="16" t="n">
        <f aca="false">E204-F204</f>
        <v>97246.4928888074</v>
      </c>
    </row>
    <row r="205" customFormat="false" ht="15" hidden="false" customHeight="false" outlineLevel="0" collapsed="false">
      <c r="A205" s="6" t="str">
        <f aca="false">Sheet2_Cleaned_Data!A205</f>
        <v>STR-1051</v>
      </c>
      <c r="B205" s="6" t="str">
        <f aca="false">Sheet2_Cleaned_Data!B205</f>
        <v>2025-01-01</v>
      </c>
      <c r="C205" s="6" t="str">
        <f aca="false">Sheet2_Cleaned_Data!C205</f>
        <v>East</v>
      </c>
      <c r="D205" s="6" t="str">
        <f aca="false">Sheet2_Cleaned_Data!D205</f>
        <v>Airport</v>
      </c>
      <c r="E205" s="15" t="n">
        <f aca="false">Sheet2_Cleaned_Data!M205</f>
        <v>598904.9</v>
      </c>
      <c r="F205" s="16" t="n">
        <f aca="false">Sheet5_Multiple_Regression!$J$6+Sheet5_Multiple_Regression!$J$7*Sheet5_Multiple_Regression!A206+Sheet5_Multiple_Regression!$J$8*Sheet5_Multiple_Regression!B206+Sheet5_Multiple_Regression!$J$9*Sheet5_Multiple_Regression!C206+Sheet5_Multiple_Regression!$J$10*Sheet5_Multiple_Regression!D206+Sheet5_Multiple_Regression!$J$11*Sheet5_Multiple_Regression!E206+Sheet5_Multiple_Regression!$J$12*Sheet5_Multiple_Regression!F206+Sheet5_Multiple_Regression!$J$13*Sheet5_Multiple_Regression!G206</f>
        <v>630749.874550057</v>
      </c>
      <c r="G205" s="16" t="n">
        <f aca="false">E205-F205</f>
        <v>-31844.9745500565</v>
      </c>
    </row>
    <row r="206" customFormat="false" ht="15" hidden="false" customHeight="false" outlineLevel="0" collapsed="false">
      <c r="A206" s="6" t="str">
        <f aca="false">Sheet2_Cleaned_Data!A206</f>
        <v>STR-1051</v>
      </c>
      <c r="B206" s="6" t="str">
        <f aca="false">Sheet2_Cleaned_Data!B206</f>
        <v>2025-02-01</v>
      </c>
      <c r="C206" s="6" t="str">
        <f aca="false">Sheet2_Cleaned_Data!C206</f>
        <v>East</v>
      </c>
      <c r="D206" s="6" t="str">
        <f aca="false">Sheet2_Cleaned_Data!D206</f>
        <v>Airport</v>
      </c>
      <c r="E206" s="15" t="n">
        <f aca="false">Sheet2_Cleaned_Data!M206</f>
        <v>787715.51</v>
      </c>
      <c r="F206" s="16" t="n">
        <f aca="false">Sheet5_Multiple_Regression!$J$6+Sheet5_Multiple_Regression!$J$7*Sheet5_Multiple_Regression!A207+Sheet5_Multiple_Regression!$J$8*Sheet5_Multiple_Regression!B207+Sheet5_Multiple_Regression!$J$9*Sheet5_Multiple_Regression!C207+Sheet5_Multiple_Regression!$J$10*Sheet5_Multiple_Regression!D207+Sheet5_Multiple_Regression!$J$11*Sheet5_Multiple_Regression!E207+Sheet5_Multiple_Regression!$J$12*Sheet5_Multiple_Regression!F207+Sheet5_Multiple_Regression!$J$13*Sheet5_Multiple_Regression!G207</f>
        <v>707902.392712392</v>
      </c>
      <c r="G206" s="16" t="n">
        <f aca="false">E206-F206</f>
        <v>79813.1172876081</v>
      </c>
    </row>
    <row r="207" customFormat="false" ht="15" hidden="false" customHeight="false" outlineLevel="0" collapsed="false">
      <c r="A207" s="6" t="str">
        <f aca="false">Sheet2_Cleaned_Data!A207</f>
        <v>STR-1051</v>
      </c>
      <c r="B207" s="6" t="str">
        <f aca="false">Sheet2_Cleaned_Data!B207</f>
        <v>2025-03-01</v>
      </c>
      <c r="C207" s="6" t="str">
        <f aca="false">Sheet2_Cleaned_Data!C207</f>
        <v>East</v>
      </c>
      <c r="D207" s="6" t="str">
        <f aca="false">Sheet2_Cleaned_Data!D207</f>
        <v>Airport</v>
      </c>
      <c r="E207" s="15" t="n">
        <f aca="false">Sheet2_Cleaned_Data!M207</f>
        <v>607084.92</v>
      </c>
      <c r="F207" s="16" t="n">
        <f aca="false">Sheet5_Multiple_Regression!$J$6+Sheet5_Multiple_Regression!$J$7*Sheet5_Multiple_Regression!A208+Sheet5_Multiple_Regression!$J$8*Sheet5_Multiple_Regression!B208+Sheet5_Multiple_Regression!$J$9*Sheet5_Multiple_Regression!C208+Sheet5_Multiple_Regression!$J$10*Sheet5_Multiple_Regression!D208+Sheet5_Multiple_Regression!$J$11*Sheet5_Multiple_Regression!E208+Sheet5_Multiple_Regression!$J$12*Sheet5_Multiple_Regression!F208+Sheet5_Multiple_Regression!$J$13*Sheet5_Multiple_Regression!G208</f>
        <v>672609.361254192</v>
      </c>
      <c r="G207" s="16" t="n">
        <f aca="false">E207-F207</f>
        <v>-65524.4412541922</v>
      </c>
    </row>
    <row r="208" customFormat="false" ht="15" hidden="false" customHeight="false" outlineLevel="0" collapsed="false">
      <c r="A208" s="6" t="str">
        <f aca="false">Sheet2_Cleaned_Data!A208</f>
        <v>STR-1051</v>
      </c>
      <c r="B208" s="6" t="str">
        <f aca="false">Sheet2_Cleaned_Data!B208</f>
        <v>2025-04-01</v>
      </c>
      <c r="C208" s="6" t="str">
        <f aca="false">Sheet2_Cleaned_Data!C208</f>
        <v>East</v>
      </c>
      <c r="D208" s="6" t="str">
        <f aca="false">Sheet2_Cleaned_Data!D208</f>
        <v>Airport</v>
      </c>
      <c r="E208" s="15" t="n">
        <f aca="false">Sheet2_Cleaned_Data!M208</f>
        <v>650795.49</v>
      </c>
      <c r="F208" s="16" t="n">
        <f aca="false">Sheet5_Multiple_Regression!$J$6+Sheet5_Multiple_Regression!$J$7*Sheet5_Multiple_Regression!A209+Sheet5_Multiple_Regression!$J$8*Sheet5_Multiple_Regression!B209+Sheet5_Multiple_Regression!$J$9*Sheet5_Multiple_Regression!C209+Sheet5_Multiple_Regression!$J$10*Sheet5_Multiple_Regression!D209+Sheet5_Multiple_Regression!$J$11*Sheet5_Multiple_Regression!E209+Sheet5_Multiple_Regression!$J$12*Sheet5_Multiple_Regression!F209+Sheet5_Multiple_Regression!$J$13*Sheet5_Multiple_Regression!G209</f>
        <v>694746.959462544</v>
      </c>
      <c r="G208" s="16" t="n">
        <f aca="false">E208-F208</f>
        <v>-43951.469462544</v>
      </c>
    </row>
    <row r="209" customFormat="false" ht="15" hidden="false" customHeight="false" outlineLevel="0" collapsed="false">
      <c r="A209" s="6" t="str">
        <f aca="false">Sheet2_Cleaned_Data!A209</f>
        <v>STR-1052</v>
      </c>
      <c r="B209" s="6" t="str">
        <f aca="false">Sheet2_Cleaned_Data!B209</f>
        <v>2025-01-01</v>
      </c>
      <c r="C209" s="6" t="str">
        <f aca="false">Sheet2_Cleaned_Data!C209</f>
        <v>East</v>
      </c>
      <c r="D209" s="6" t="str">
        <f aca="false">Sheet2_Cleaned_Data!D209</f>
        <v>Mall</v>
      </c>
      <c r="E209" s="15" t="n">
        <f aca="false">Sheet2_Cleaned_Data!M209</f>
        <v>825060.52</v>
      </c>
      <c r="F209" s="16" t="n">
        <f aca="false">Sheet5_Multiple_Regression!$J$6+Sheet5_Multiple_Regression!$J$7*Sheet5_Multiple_Regression!A210+Sheet5_Multiple_Regression!$J$8*Sheet5_Multiple_Regression!B210+Sheet5_Multiple_Regression!$J$9*Sheet5_Multiple_Regression!C210+Sheet5_Multiple_Regression!$J$10*Sheet5_Multiple_Regression!D210+Sheet5_Multiple_Regression!$J$11*Sheet5_Multiple_Regression!E210+Sheet5_Multiple_Regression!$J$12*Sheet5_Multiple_Regression!F210+Sheet5_Multiple_Regression!$J$13*Sheet5_Multiple_Regression!G210</f>
        <v>853569.718355013</v>
      </c>
      <c r="G209" s="16" t="n">
        <f aca="false">E209-F209</f>
        <v>-28509.1983550132</v>
      </c>
    </row>
    <row r="210" customFormat="false" ht="15" hidden="false" customHeight="false" outlineLevel="0" collapsed="false">
      <c r="A210" s="6" t="str">
        <f aca="false">Sheet2_Cleaned_Data!A210</f>
        <v>STR-1052</v>
      </c>
      <c r="B210" s="6" t="str">
        <f aca="false">Sheet2_Cleaned_Data!B210</f>
        <v>2025-02-01</v>
      </c>
      <c r="C210" s="6" t="str">
        <f aca="false">Sheet2_Cleaned_Data!C210</f>
        <v>East</v>
      </c>
      <c r="D210" s="6" t="str">
        <f aca="false">Sheet2_Cleaned_Data!D210</f>
        <v>Mall</v>
      </c>
      <c r="E210" s="15" t="n">
        <f aca="false">Sheet2_Cleaned_Data!M210</f>
        <v>795464.47</v>
      </c>
      <c r="F210" s="16" t="n">
        <f aca="false">Sheet5_Multiple_Regression!$J$6+Sheet5_Multiple_Regression!$J$7*Sheet5_Multiple_Regression!A211+Sheet5_Multiple_Regression!$J$8*Sheet5_Multiple_Regression!B211+Sheet5_Multiple_Regression!$J$9*Sheet5_Multiple_Regression!C211+Sheet5_Multiple_Regression!$J$10*Sheet5_Multiple_Regression!D211+Sheet5_Multiple_Regression!$J$11*Sheet5_Multiple_Regression!E211+Sheet5_Multiple_Regression!$J$12*Sheet5_Multiple_Regression!F211+Sheet5_Multiple_Regression!$J$13*Sheet5_Multiple_Regression!G211</f>
        <v>752849.569773354</v>
      </c>
      <c r="G210" s="16" t="n">
        <f aca="false">E210-F210</f>
        <v>42614.9002266456</v>
      </c>
    </row>
    <row r="211" customFormat="false" ht="15" hidden="false" customHeight="false" outlineLevel="0" collapsed="false">
      <c r="A211" s="6" t="str">
        <f aca="false">Sheet2_Cleaned_Data!A211</f>
        <v>STR-1052</v>
      </c>
      <c r="B211" s="6" t="str">
        <f aca="false">Sheet2_Cleaned_Data!B211</f>
        <v>2025-03-01</v>
      </c>
      <c r="C211" s="6" t="str">
        <f aca="false">Sheet2_Cleaned_Data!C211</f>
        <v>East</v>
      </c>
      <c r="D211" s="6" t="str">
        <f aca="false">Sheet2_Cleaned_Data!D211</f>
        <v>Mall</v>
      </c>
      <c r="E211" s="15" t="n">
        <f aca="false">Sheet2_Cleaned_Data!M211</f>
        <v>671868.59</v>
      </c>
      <c r="F211" s="16" t="n">
        <f aca="false">Sheet5_Multiple_Regression!$J$6+Sheet5_Multiple_Regression!$J$7*Sheet5_Multiple_Regression!A212+Sheet5_Multiple_Regression!$J$8*Sheet5_Multiple_Regression!B212+Sheet5_Multiple_Regression!$J$9*Sheet5_Multiple_Regression!C212+Sheet5_Multiple_Regression!$J$10*Sheet5_Multiple_Regression!D212+Sheet5_Multiple_Regression!$J$11*Sheet5_Multiple_Regression!E212+Sheet5_Multiple_Regression!$J$12*Sheet5_Multiple_Regression!F212+Sheet5_Multiple_Regression!$J$13*Sheet5_Multiple_Regression!G212</f>
        <v>746043.390638067</v>
      </c>
      <c r="G211" s="16" t="n">
        <f aca="false">E211-F211</f>
        <v>-74174.8006380671</v>
      </c>
    </row>
    <row r="212" customFormat="false" ht="15" hidden="false" customHeight="false" outlineLevel="0" collapsed="false">
      <c r="A212" s="6" t="str">
        <f aca="false">Sheet2_Cleaned_Data!A212</f>
        <v>STR-1052</v>
      </c>
      <c r="B212" s="6" t="str">
        <f aca="false">Sheet2_Cleaned_Data!B212</f>
        <v>2025-04-01</v>
      </c>
      <c r="C212" s="6" t="str">
        <f aca="false">Sheet2_Cleaned_Data!C212</f>
        <v>East</v>
      </c>
      <c r="D212" s="6" t="str">
        <f aca="false">Sheet2_Cleaned_Data!D212</f>
        <v>Mall</v>
      </c>
      <c r="E212" s="15" t="n">
        <f aca="false">Sheet2_Cleaned_Data!M212</f>
        <v>675917.63</v>
      </c>
      <c r="F212" s="16" t="n">
        <f aca="false">Sheet5_Multiple_Regression!$J$6+Sheet5_Multiple_Regression!$J$7*Sheet5_Multiple_Regression!A213+Sheet5_Multiple_Regression!$J$8*Sheet5_Multiple_Regression!B213+Sheet5_Multiple_Regression!$J$9*Sheet5_Multiple_Regression!C213+Sheet5_Multiple_Regression!$J$10*Sheet5_Multiple_Regression!D213+Sheet5_Multiple_Regression!$J$11*Sheet5_Multiple_Regression!E213+Sheet5_Multiple_Regression!$J$12*Sheet5_Multiple_Regression!F213+Sheet5_Multiple_Regression!$J$13*Sheet5_Multiple_Regression!G213</f>
        <v>767689.689943908</v>
      </c>
      <c r="G212" s="16" t="n">
        <f aca="false">E212-F212</f>
        <v>-91772.0599439084</v>
      </c>
    </row>
    <row r="213" customFormat="false" ht="15" hidden="false" customHeight="false" outlineLevel="0" collapsed="false">
      <c r="A213" s="6" t="str">
        <f aca="false">Sheet2_Cleaned_Data!A213</f>
        <v>STR-1053</v>
      </c>
      <c r="B213" s="6" t="str">
        <f aca="false">Sheet2_Cleaned_Data!B213</f>
        <v>2025-01-01</v>
      </c>
      <c r="C213" s="6" t="str">
        <f aca="false">Sheet2_Cleaned_Data!C213</f>
        <v>East</v>
      </c>
      <c r="D213" s="6" t="str">
        <f aca="false">Sheet2_Cleaned_Data!D213</f>
        <v>High Street</v>
      </c>
      <c r="E213" s="15" t="n">
        <f aca="false">Sheet2_Cleaned_Data!M213</f>
        <v>810446.53</v>
      </c>
      <c r="F213" s="16" t="n">
        <f aca="false">Sheet5_Multiple_Regression!$J$6+Sheet5_Multiple_Regression!$J$7*Sheet5_Multiple_Regression!A214+Sheet5_Multiple_Regression!$J$8*Sheet5_Multiple_Regression!B214+Sheet5_Multiple_Regression!$J$9*Sheet5_Multiple_Regression!C214+Sheet5_Multiple_Regression!$J$10*Sheet5_Multiple_Regression!D214+Sheet5_Multiple_Regression!$J$11*Sheet5_Multiple_Regression!E214+Sheet5_Multiple_Regression!$J$12*Sheet5_Multiple_Regression!F214+Sheet5_Multiple_Regression!$J$13*Sheet5_Multiple_Regression!G214</f>
        <v>807113.362086502</v>
      </c>
      <c r="G213" s="16" t="n">
        <f aca="false">E213-F213</f>
        <v>3333.16791349847</v>
      </c>
    </row>
    <row r="214" customFormat="false" ht="15" hidden="false" customHeight="false" outlineLevel="0" collapsed="false">
      <c r="A214" s="6" t="str">
        <f aca="false">Sheet2_Cleaned_Data!A214</f>
        <v>STR-1053</v>
      </c>
      <c r="B214" s="6" t="str">
        <f aca="false">Sheet2_Cleaned_Data!B214</f>
        <v>2025-02-01</v>
      </c>
      <c r="C214" s="6" t="str">
        <f aca="false">Sheet2_Cleaned_Data!C214</f>
        <v>East</v>
      </c>
      <c r="D214" s="6" t="str">
        <f aca="false">Sheet2_Cleaned_Data!D214</f>
        <v>High Street</v>
      </c>
      <c r="E214" s="15" t="n">
        <f aca="false">Sheet2_Cleaned_Data!M214</f>
        <v>691288.19</v>
      </c>
      <c r="F214" s="16" t="n">
        <f aca="false">Sheet5_Multiple_Regression!$J$6+Sheet5_Multiple_Regression!$J$7*Sheet5_Multiple_Regression!A215+Sheet5_Multiple_Regression!$J$8*Sheet5_Multiple_Regression!B215+Sheet5_Multiple_Regression!$J$9*Sheet5_Multiple_Regression!C215+Sheet5_Multiple_Regression!$J$10*Sheet5_Multiple_Regression!D215+Sheet5_Multiple_Regression!$J$11*Sheet5_Multiple_Regression!E215+Sheet5_Multiple_Regression!$J$12*Sheet5_Multiple_Regression!F215+Sheet5_Multiple_Regression!$J$13*Sheet5_Multiple_Regression!G215</f>
        <v>773405.077257295</v>
      </c>
      <c r="G214" s="16" t="n">
        <f aca="false">E214-F214</f>
        <v>-82116.8872572949</v>
      </c>
    </row>
    <row r="215" customFormat="false" ht="15" hidden="false" customHeight="false" outlineLevel="0" collapsed="false">
      <c r="A215" s="6" t="str">
        <f aca="false">Sheet2_Cleaned_Data!A215</f>
        <v>STR-1053</v>
      </c>
      <c r="B215" s="6" t="str">
        <f aca="false">Sheet2_Cleaned_Data!B215</f>
        <v>2025-03-01</v>
      </c>
      <c r="C215" s="6" t="str">
        <f aca="false">Sheet2_Cleaned_Data!C215</f>
        <v>East</v>
      </c>
      <c r="D215" s="6" t="str">
        <f aca="false">Sheet2_Cleaned_Data!D215</f>
        <v>High Street</v>
      </c>
      <c r="E215" s="15" t="n">
        <f aca="false">Sheet2_Cleaned_Data!M215</f>
        <v>946833.54</v>
      </c>
      <c r="F215" s="16" t="n">
        <f aca="false">Sheet5_Multiple_Regression!$J$6+Sheet5_Multiple_Regression!$J$7*Sheet5_Multiple_Regression!A216+Sheet5_Multiple_Regression!$J$8*Sheet5_Multiple_Regression!B216+Sheet5_Multiple_Regression!$J$9*Sheet5_Multiple_Regression!C216+Sheet5_Multiple_Regression!$J$10*Sheet5_Multiple_Regression!D216+Sheet5_Multiple_Regression!$J$11*Sheet5_Multiple_Regression!E216+Sheet5_Multiple_Regression!$J$12*Sheet5_Multiple_Regression!F216+Sheet5_Multiple_Regression!$J$13*Sheet5_Multiple_Regression!G216</f>
        <v>969513.975471787</v>
      </c>
      <c r="G215" s="16" t="n">
        <f aca="false">E215-F215</f>
        <v>-22680.4354717864</v>
      </c>
    </row>
    <row r="216" customFormat="false" ht="15" hidden="false" customHeight="false" outlineLevel="0" collapsed="false">
      <c r="A216" s="6" t="str">
        <f aca="false">Sheet2_Cleaned_Data!A216</f>
        <v>STR-1053</v>
      </c>
      <c r="B216" s="6" t="str">
        <f aca="false">Sheet2_Cleaned_Data!B216</f>
        <v>2025-04-01</v>
      </c>
      <c r="C216" s="6" t="str">
        <f aca="false">Sheet2_Cleaned_Data!C216</f>
        <v>East</v>
      </c>
      <c r="D216" s="6" t="str">
        <f aca="false">Sheet2_Cleaned_Data!D216</f>
        <v>High Street</v>
      </c>
      <c r="E216" s="15" t="n">
        <f aca="false">Sheet2_Cleaned_Data!M216</f>
        <v>761963.23</v>
      </c>
      <c r="F216" s="16" t="n">
        <f aca="false">Sheet5_Multiple_Regression!$J$6+Sheet5_Multiple_Regression!$J$7*Sheet5_Multiple_Regression!A217+Sheet5_Multiple_Regression!$J$8*Sheet5_Multiple_Regression!B217+Sheet5_Multiple_Regression!$J$9*Sheet5_Multiple_Regression!C217+Sheet5_Multiple_Regression!$J$10*Sheet5_Multiple_Regression!D217+Sheet5_Multiple_Regression!$J$11*Sheet5_Multiple_Regression!E217+Sheet5_Multiple_Regression!$J$12*Sheet5_Multiple_Regression!F217+Sheet5_Multiple_Regression!$J$13*Sheet5_Multiple_Regression!G217</f>
        <v>778415.368208675</v>
      </c>
      <c r="G216" s="16" t="n">
        <f aca="false">E216-F216</f>
        <v>-16452.1382086747</v>
      </c>
    </row>
    <row r="217" customFormat="false" ht="15" hidden="false" customHeight="false" outlineLevel="0" collapsed="false">
      <c r="A217" s="6" t="str">
        <f aca="false">Sheet2_Cleaned_Data!A217</f>
        <v>STR-1054</v>
      </c>
      <c r="B217" s="6" t="str">
        <f aca="false">Sheet2_Cleaned_Data!B217</f>
        <v>2025-01-01</v>
      </c>
      <c r="C217" s="6" t="str">
        <f aca="false">Sheet2_Cleaned_Data!C217</f>
        <v>West</v>
      </c>
      <c r="D217" s="6" t="str">
        <f aca="false">Sheet2_Cleaned_Data!D217</f>
        <v>Residential</v>
      </c>
      <c r="E217" s="15" t="n">
        <f aca="false">Sheet2_Cleaned_Data!M217</f>
        <v>812152.6</v>
      </c>
      <c r="F217" s="16" t="n">
        <f aca="false">Sheet5_Multiple_Regression!$J$6+Sheet5_Multiple_Regression!$J$7*Sheet5_Multiple_Regression!A218+Sheet5_Multiple_Regression!$J$8*Sheet5_Multiple_Regression!B218+Sheet5_Multiple_Regression!$J$9*Sheet5_Multiple_Regression!C218+Sheet5_Multiple_Regression!$J$10*Sheet5_Multiple_Regression!D218+Sheet5_Multiple_Regression!$J$11*Sheet5_Multiple_Regression!E218+Sheet5_Multiple_Regression!$J$12*Sheet5_Multiple_Regression!F218+Sheet5_Multiple_Regression!$J$13*Sheet5_Multiple_Regression!G218</f>
        <v>763472.405015723</v>
      </c>
      <c r="G217" s="16" t="n">
        <f aca="false">E217-F217</f>
        <v>48680.1949842774</v>
      </c>
    </row>
    <row r="218" customFormat="false" ht="15" hidden="false" customHeight="false" outlineLevel="0" collapsed="false">
      <c r="A218" s="6" t="str">
        <f aca="false">Sheet2_Cleaned_Data!A218</f>
        <v>STR-1054</v>
      </c>
      <c r="B218" s="6" t="str">
        <f aca="false">Sheet2_Cleaned_Data!B218</f>
        <v>2025-02-01</v>
      </c>
      <c r="C218" s="6" t="str">
        <f aca="false">Sheet2_Cleaned_Data!C218</f>
        <v>West</v>
      </c>
      <c r="D218" s="6" t="str">
        <f aca="false">Sheet2_Cleaned_Data!D218</f>
        <v>Residential</v>
      </c>
      <c r="E218" s="15" t="n">
        <f aca="false">Sheet2_Cleaned_Data!M218</f>
        <v>804975.5</v>
      </c>
      <c r="F218" s="16" t="n">
        <f aca="false">Sheet5_Multiple_Regression!$J$6+Sheet5_Multiple_Regression!$J$7*Sheet5_Multiple_Regression!A219+Sheet5_Multiple_Regression!$J$8*Sheet5_Multiple_Regression!B219+Sheet5_Multiple_Regression!$J$9*Sheet5_Multiple_Regression!C219+Sheet5_Multiple_Regression!$J$10*Sheet5_Multiple_Regression!D219+Sheet5_Multiple_Regression!$J$11*Sheet5_Multiple_Regression!E219+Sheet5_Multiple_Regression!$J$12*Sheet5_Multiple_Regression!F219+Sheet5_Multiple_Regression!$J$13*Sheet5_Multiple_Regression!G219</f>
        <v>750198.140570516</v>
      </c>
      <c r="G218" s="16" t="n">
        <f aca="false">E218-F218</f>
        <v>54777.359429484</v>
      </c>
    </row>
    <row r="219" customFormat="false" ht="15" hidden="false" customHeight="false" outlineLevel="0" collapsed="false">
      <c r="A219" s="6" t="str">
        <f aca="false">Sheet2_Cleaned_Data!A219</f>
        <v>STR-1054</v>
      </c>
      <c r="B219" s="6" t="str">
        <f aca="false">Sheet2_Cleaned_Data!B219</f>
        <v>2025-03-01</v>
      </c>
      <c r="C219" s="6" t="str">
        <f aca="false">Sheet2_Cleaned_Data!C219</f>
        <v>West</v>
      </c>
      <c r="D219" s="6" t="str">
        <f aca="false">Sheet2_Cleaned_Data!D219</f>
        <v>Residential</v>
      </c>
      <c r="E219" s="15" t="n">
        <f aca="false">Sheet2_Cleaned_Data!M219</f>
        <v>752321.72</v>
      </c>
      <c r="F219" s="16" t="n">
        <f aca="false">Sheet5_Multiple_Regression!$J$6+Sheet5_Multiple_Regression!$J$7*Sheet5_Multiple_Regression!A220+Sheet5_Multiple_Regression!$J$8*Sheet5_Multiple_Regression!B220+Sheet5_Multiple_Regression!$J$9*Sheet5_Multiple_Regression!C220+Sheet5_Multiple_Regression!$J$10*Sheet5_Multiple_Regression!D220+Sheet5_Multiple_Regression!$J$11*Sheet5_Multiple_Regression!E220+Sheet5_Multiple_Regression!$J$12*Sheet5_Multiple_Regression!F220+Sheet5_Multiple_Regression!$J$13*Sheet5_Multiple_Regression!G220</f>
        <v>750240.410931463</v>
      </c>
      <c r="G219" s="16" t="n">
        <f aca="false">E219-F219</f>
        <v>2081.30906853732</v>
      </c>
    </row>
    <row r="220" customFormat="false" ht="15" hidden="false" customHeight="false" outlineLevel="0" collapsed="false">
      <c r="A220" s="6" t="str">
        <f aca="false">Sheet2_Cleaned_Data!A220</f>
        <v>STR-1054</v>
      </c>
      <c r="B220" s="6" t="str">
        <f aca="false">Sheet2_Cleaned_Data!B220</f>
        <v>2025-04-01</v>
      </c>
      <c r="C220" s="6" t="str">
        <f aca="false">Sheet2_Cleaned_Data!C220</f>
        <v>West</v>
      </c>
      <c r="D220" s="6" t="str">
        <f aca="false">Sheet2_Cleaned_Data!D220</f>
        <v>Residential</v>
      </c>
      <c r="E220" s="15" t="n">
        <f aca="false">Sheet2_Cleaned_Data!M220</f>
        <v>836908.24</v>
      </c>
      <c r="F220" s="16" t="n">
        <f aca="false">Sheet5_Multiple_Regression!$J$6+Sheet5_Multiple_Regression!$J$7*Sheet5_Multiple_Regression!A221+Sheet5_Multiple_Regression!$J$8*Sheet5_Multiple_Regression!B221+Sheet5_Multiple_Regression!$J$9*Sheet5_Multiple_Regression!C221+Sheet5_Multiple_Regression!$J$10*Sheet5_Multiple_Regression!D221+Sheet5_Multiple_Regression!$J$11*Sheet5_Multiple_Regression!E221+Sheet5_Multiple_Regression!$J$12*Sheet5_Multiple_Regression!F221+Sheet5_Multiple_Regression!$J$13*Sheet5_Multiple_Regression!G221</f>
        <v>810065.403047375</v>
      </c>
      <c r="G220" s="16" t="n">
        <f aca="false">E220-F220</f>
        <v>26842.8369526247</v>
      </c>
    </row>
    <row r="221" customFormat="false" ht="15" hidden="false" customHeight="false" outlineLevel="0" collapsed="false">
      <c r="A221" s="6" t="str">
        <f aca="false">Sheet2_Cleaned_Data!A221</f>
        <v>STR-1055</v>
      </c>
      <c r="B221" s="6" t="str">
        <f aca="false">Sheet2_Cleaned_Data!B221</f>
        <v>2025-01-01</v>
      </c>
      <c r="C221" s="6" t="str">
        <f aca="false">Sheet2_Cleaned_Data!C221</f>
        <v>North</v>
      </c>
      <c r="D221" s="6" t="str">
        <f aca="false">Sheet2_Cleaned_Data!D221</f>
        <v>Airport</v>
      </c>
      <c r="E221" s="15" t="n">
        <f aca="false">Sheet2_Cleaned_Data!M221</f>
        <v>674289.1</v>
      </c>
      <c r="F221" s="16" t="n">
        <f aca="false">Sheet5_Multiple_Regression!$J$6+Sheet5_Multiple_Regression!$J$7*Sheet5_Multiple_Regression!A222+Sheet5_Multiple_Regression!$J$8*Sheet5_Multiple_Regression!B222+Sheet5_Multiple_Regression!$J$9*Sheet5_Multiple_Regression!C222+Sheet5_Multiple_Regression!$J$10*Sheet5_Multiple_Regression!D222+Sheet5_Multiple_Regression!$J$11*Sheet5_Multiple_Regression!E222+Sheet5_Multiple_Regression!$J$12*Sheet5_Multiple_Regression!F222+Sheet5_Multiple_Regression!$J$13*Sheet5_Multiple_Regression!G222</f>
        <v>662409.694849021</v>
      </c>
      <c r="G221" s="16" t="n">
        <f aca="false">E221-F221</f>
        <v>11879.4051509793</v>
      </c>
    </row>
    <row r="222" customFormat="false" ht="15" hidden="false" customHeight="false" outlineLevel="0" collapsed="false">
      <c r="A222" s="6" t="str">
        <f aca="false">Sheet2_Cleaned_Data!A222</f>
        <v>STR-1055</v>
      </c>
      <c r="B222" s="6" t="str">
        <f aca="false">Sheet2_Cleaned_Data!B222</f>
        <v>2025-02-01</v>
      </c>
      <c r="C222" s="6" t="str">
        <f aca="false">Sheet2_Cleaned_Data!C222</f>
        <v>North</v>
      </c>
      <c r="D222" s="6" t="str">
        <f aca="false">Sheet2_Cleaned_Data!D222</f>
        <v>Airport</v>
      </c>
      <c r="E222" s="15" t="n">
        <f aca="false">Sheet2_Cleaned_Data!M222</f>
        <v>622892.42</v>
      </c>
      <c r="F222" s="16" t="n">
        <f aca="false">Sheet5_Multiple_Regression!$J$6+Sheet5_Multiple_Regression!$J$7*Sheet5_Multiple_Regression!A223+Sheet5_Multiple_Regression!$J$8*Sheet5_Multiple_Regression!B223+Sheet5_Multiple_Regression!$J$9*Sheet5_Multiple_Regression!C223+Sheet5_Multiple_Regression!$J$10*Sheet5_Multiple_Regression!D223+Sheet5_Multiple_Regression!$J$11*Sheet5_Multiple_Regression!E223+Sheet5_Multiple_Regression!$J$12*Sheet5_Multiple_Regression!F223+Sheet5_Multiple_Regression!$J$13*Sheet5_Multiple_Regression!G223</f>
        <v>635742.917548614</v>
      </c>
      <c r="G222" s="16" t="n">
        <f aca="false">E222-F222</f>
        <v>-12850.4975486143</v>
      </c>
    </row>
    <row r="223" customFormat="false" ht="15" hidden="false" customHeight="false" outlineLevel="0" collapsed="false">
      <c r="A223" s="6" t="str">
        <f aca="false">Sheet2_Cleaned_Data!A223</f>
        <v>STR-1055</v>
      </c>
      <c r="B223" s="6" t="str">
        <f aca="false">Sheet2_Cleaned_Data!B223</f>
        <v>2025-03-01</v>
      </c>
      <c r="C223" s="6" t="str">
        <f aca="false">Sheet2_Cleaned_Data!C223</f>
        <v>North</v>
      </c>
      <c r="D223" s="6" t="str">
        <f aca="false">Sheet2_Cleaned_Data!D223</f>
        <v>Airport</v>
      </c>
      <c r="E223" s="15" t="n">
        <f aca="false">Sheet2_Cleaned_Data!M223</f>
        <v>673348.56</v>
      </c>
      <c r="F223" s="16" t="n">
        <f aca="false">Sheet5_Multiple_Regression!$J$6+Sheet5_Multiple_Regression!$J$7*Sheet5_Multiple_Regression!A224+Sheet5_Multiple_Regression!$J$8*Sheet5_Multiple_Regression!B224+Sheet5_Multiple_Regression!$J$9*Sheet5_Multiple_Regression!C224+Sheet5_Multiple_Regression!$J$10*Sheet5_Multiple_Regression!D224+Sheet5_Multiple_Regression!$J$11*Sheet5_Multiple_Regression!E224+Sheet5_Multiple_Regression!$J$12*Sheet5_Multiple_Regression!F224+Sheet5_Multiple_Regression!$J$13*Sheet5_Multiple_Regression!G224</f>
        <v>636427.731001688</v>
      </c>
      <c r="G223" s="16" t="n">
        <f aca="false">E223-F223</f>
        <v>36920.8289983119</v>
      </c>
    </row>
    <row r="224" customFormat="false" ht="15" hidden="false" customHeight="false" outlineLevel="0" collapsed="false">
      <c r="A224" s="6" t="str">
        <f aca="false">Sheet2_Cleaned_Data!A224</f>
        <v>STR-1055</v>
      </c>
      <c r="B224" s="6" t="str">
        <f aca="false">Sheet2_Cleaned_Data!B224</f>
        <v>2025-04-01</v>
      </c>
      <c r="C224" s="6" t="str">
        <f aca="false">Sheet2_Cleaned_Data!C224</f>
        <v>North</v>
      </c>
      <c r="D224" s="6" t="str">
        <f aca="false">Sheet2_Cleaned_Data!D224</f>
        <v>Airport</v>
      </c>
      <c r="E224" s="15" t="n">
        <f aca="false">Sheet2_Cleaned_Data!M224</f>
        <v>606278.3</v>
      </c>
      <c r="F224" s="16" t="n">
        <f aca="false">Sheet5_Multiple_Regression!$J$6+Sheet5_Multiple_Regression!$J$7*Sheet5_Multiple_Regression!A225+Sheet5_Multiple_Regression!$J$8*Sheet5_Multiple_Regression!B225+Sheet5_Multiple_Regression!$J$9*Sheet5_Multiple_Regression!C225+Sheet5_Multiple_Regression!$J$10*Sheet5_Multiple_Regression!D225+Sheet5_Multiple_Regression!$J$11*Sheet5_Multiple_Regression!E225+Sheet5_Multiple_Regression!$J$12*Sheet5_Multiple_Regression!F225+Sheet5_Multiple_Regression!$J$13*Sheet5_Multiple_Regression!G225</f>
        <v>615454.163734646</v>
      </c>
      <c r="G224" s="16" t="n">
        <f aca="false">E224-F224</f>
        <v>-9175.86373464577</v>
      </c>
    </row>
    <row r="225" customFormat="false" ht="15" hidden="false" customHeight="false" outlineLevel="0" collapsed="false">
      <c r="A225" s="6" t="str">
        <f aca="false">Sheet2_Cleaned_Data!A225</f>
        <v>STR-1056</v>
      </c>
      <c r="B225" s="6" t="str">
        <f aca="false">Sheet2_Cleaned_Data!B225</f>
        <v>2025-01-01</v>
      </c>
      <c r="C225" s="6" t="str">
        <f aca="false">Sheet2_Cleaned_Data!C225</f>
        <v>East</v>
      </c>
      <c r="D225" s="6" t="str">
        <f aca="false">Sheet2_Cleaned_Data!D225</f>
        <v>High Street</v>
      </c>
      <c r="E225" s="15" t="n">
        <f aca="false">Sheet2_Cleaned_Data!M225</f>
        <v>712219.81</v>
      </c>
      <c r="F225" s="16" t="n">
        <f aca="false">Sheet5_Multiple_Regression!$J$6+Sheet5_Multiple_Regression!$J$7*Sheet5_Multiple_Regression!A226+Sheet5_Multiple_Regression!$J$8*Sheet5_Multiple_Regression!B226+Sheet5_Multiple_Regression!$J$9*Sheet5_Multiple_Regression!C226+Sheet5_Multiple_Regression!$J$10*Sheet5_Multiple_Regression!D226+Sheet5_Multiple_Regression!$J$11*Sheet5_Multiple_Regression!E226+Sheet5_Multiple_Regression!$J$12*Sheet5_Multiple_Regression!F226+Sheet5_Multiple_Regression!$J$13*Sheet5_Multiple_Regression!G226</f>
        <v>707866.429009294</v>
      </c>
      <c r="G225" s="16" t="n">
        <f aca="false">E225-F225</f>
        <v>4353.38099070638</v>
      </c>
    </row>
    <row r="226" customFormat="false" ht="15" hidden="false" customHeight="false" outlineLevel="0" collapsed="false">
      <c r="A226" s="6" t="str">
        <f aca="false">Sheet2_Cleaned_Data!A226</f>
        <v>STR-1056</v>
      </c>
      <c r="B226" s="6" t="str">
        <f aca="false">Sheet2_Cleaned_Data!B226</f>
        <v>2025-02-01</v>
      </c>
      <c r="C226" s="6" t="str">
        <f aca="false">Sheet2_Cleaned_Data!C226</f>
        <v>East</v>
      </c>
      <c r="D226" s="6" t="str">
        <f aca="false">Sheet2_Cleaned_Data!D226</f>
        <v>High Street</v>
      </c>
      <c r="E226" s="15" t="n">
        <f aca="false">Sheet2_Cleaned_Data!M226</f>
        <v>672670.54</v>
      </c>
      <c r="F226" s="16" t="n">
        <f aca="false">Sheet5_Multiple_Regression!$J$6+Sheet5_Multiple_Regression!$J$7*Sheet5_Multiple_Regression!A227+Sheet5_Multiple_Regression!$J$8*Sheet5_Multiple_Regression!B227+Sheet5_Multiple_Regression!$J$9*Sheet5_Multiple_Regression!C227+Sheet5_Multiple_Regression!$J$10*Sheet5_Multiple_Regression!D227+Sheet5_Multiple_Regression!$J$11*Sheet5_Multiple_Regression!E227+Sheet5_Multiple_Regression!$J$12*Sheet5_Multiple_Regression!F227+Sheet5_Multiple_Regression!$J$13*Sheet5_Multiple_Regression!G227</f>
        <v>683382.883811805</v>
      </c>
      <c r="G226" s="16" t="n">
        <f aca="false">E226-F226</f>
        <v>-10712.3438118047</v>
      </c>
    </row>
    <row r="227" customFormat="false" ht="15" hidden="false" customHeight="false" outlineLevel="0" collapsed="false">
      <c r="A227" s="6" t="str">
        <f aca="false">Sheet2_Cleaned_Data!A227</f>
        <v>STR-1056</v>
      </c>
      <c r="B227" s="6" t="str">
        <f aca="false">Sheet2_Cleaned_Data!B227</f>
        <v>2025-03-01</v>
      </c>
      <c r="C227" s="6" t="str">
        <f aca="false">Sheet2_Cleaned_Data!C227</f>
        <v>East</v>
      </c>
      <c r="D227" s="6" t="str">
        <f aca="false">Sheet2_Cleaned_Data!D227</f>
        <v>High Street</v>
      </c>
      <c r="E227" s="15" t="n">
        <f aca="false">Sheet2_Cleaned_Data!M227</f>
        <v>732667.92</v>
      </c>
      <c r="F227" s="16" t="n">
        <f aca="false">Sheet5_Multiple_Regression!$J$6+Sheet5_Multiple_Regression!$J$7*Sheet5_Multiple_Regression!A228+Sheet5_Multiple_Regression!$J$8*Sheet5_Multiple_Regression!B228+Sheet5_Multiple_Regression!$J$9*Sheet5_Multiple_Regression!C228+Sheet5_Multiple_Regression!$J$10*Sheet5_Multiple_Regression!D228+Sheet5_Multiple_Regression!$J$11*Sheet5_Multiple_Regression!E228+Sheet5_Multiple_Regression!$J$12*Sheet5_Multiple_Regression!F228+Sheet5_Multiple_Regression!$J$13*Sheet5_Multiple_Regression!G228</f>
        <v>744707.036718462</v>
      </c>
      <c r="G227" s="16" t="n">
        <f aca="false">E227-F227</f>
        <v>-12039.1167184621</v>
      </c>
    </row>
    <row r="228" customFormat="false" ht="15" hidden="false" customHeight="false" outlineLevel="0" collapsed="false">
      <c r="A228" s="6" t="str">
        <f aca="false">Sheet2_Cleaned_Data!A228</f>
        <v>STR-1056</v>
      </c>
      <c r="B228" s="6" t="str">
        <f aca="false">Sheet2_Cleaned_Data!B228</f>
        <v>2025-04-01</v>
      </c>
      <c r="C228" s="6" t="str">
        <f aca="false">Sheet2_Cleaned_Data!C228</f>
        <v>East</v>
      </c>
      <c r="D228" s="6" t="str">
        <f aca="false">Sheet2_Cleaned_Data!D228</f>
        <v>High Street</v>
      </c>
      <c r="E228" s="15" t="n">
        <f aca="false">Sheet2_Cleaned_Data!M228</f>
        <v>723531.4</v>
      </c>
      <c r="F228" s="16" t="n">
        <f aca="false">Sheet5_Multiple_Regression!$J$6+Sheet5_Multiple_Regression!$J$7*Sheet5_Multiple_Regression!A229+Sheet5_Multiple_Regression!$J$8*Sheet5_Multiple_Regression!B229+Sheet5_Multiple_Regression!$J$9*Sheet5_Multiple_Regression!C229+Sheet5_Multiple_Regression!$J$10*Sheet5_Multiple_Regression!D229+Sheet5_Multiple_Regression!$J$11*Sheet5_Multiple_Regression!E229+Sheet5_Multiple_Regression!$J$12*Sheet5_Multiple_Regression!F229+Sheet5_Multiple_Regression!$J$13*Sheet5_Multiple_Regression!G229</f>
        <v>769201.665400135</v>
      </c>
      <c r="G228" s="16" t="n">
        <f aca="false">E228-F228</f>
        <v>-45670.2654001348</v>
      </c>
    </row>
    <row r="229" customFormat="false" ht="15" hidden="false" customHeight="false" outlineLevel="0" collapsed="false">
      <c r="A229" s="6" t="str">
        <f aca="false">Sheet2_Cleaned_Data!A229</f>
        <v>STR-1057</v>
      </c>
      <c r="B229" s="6" t="str">
        <f aca="false">Sheet2_Cleaned_Data!B229</f>
        <v>2025-01-01</v>
      </c>
      <c r="C229" s="6" t="str">
        <f aca="false">Sheet2_Cleaned_Data!C229</f>
        <v>East</v>
      </c>
      <c r="D229" s="6" t="str">
        <f aca="false">Sheet2_Cleaned_Data!D229</f>
        <v>Mall</v>
      </c>
      <c r="E229" s="15" t="n">
        <f aca="false">Sheet2_Cleaned_Data!M229</f>
        <v>641564.6</v>
      </c>
      <c r="F229" s="16" t="n">
        <f aca="false">Sheet5_Multiple_Regression!$J$6+Sheet5_Multiple_Regression!$J$7*Sheet5_Multiple_Regression!A230+Sheet5_Multiple_Regression!$J$8*Sheet5_Multiple_Regression!B230+Sheet5_Multiple_Regression!$J$9*Sheet5_Multiple_Regression!C230+Sheet5_Multiple_Regression!$J$10*Sheet5_Multiple_Regression!D230+Sheet5_Multiple_Regression!$J$11*Sheet5_Multiple_Regression!E230+Sheet5_Multiple_Regression!$J$12*Sheet5_Multiple_Regression!F230+Sheet5_Multiple_Regression!$J$13*Sheet5_Multiple_Regression!G230</f>
        <v>622740.838892925</v>
      </c>
      <c r="G229" s="16" t="n">
        <f aca="false">E229-F229</f>
        <v>18823.761107075</v>
      </c>
    </row>
    <row r="230" customFormat="false" ht="15" hidden="false" customHeight="false" outlineLevel="0" collapsed="false">
      <c r="A230" s="6" t="str">
        <f aca="false">Sheet2_Cleaned_Data!A230</f>
        <v>STR-1057</v>
      </c>
      <c r="B230" s="6" t="str">
        <f aca="false">Sheet2_Cleaned_Data!B230</f>
        <v>2025-02-01</v>
      </c>
      <c r="C230" s="6" t="str">
        <f aca="false">Sheet2_Cleaned_Data!C230</f>
        <v>East</v>
      </c>
      <c r="D230" s="6" t="str">
        <f aca="false">Sheet2_Cleaned_Data!D230</f>
        <v>Mall</v>
      </c>
      <c r="E230" s="15" t="n">
        <f aca="false">Sheet2_Cleaned_Data!M230</f>
        <v>536545.49</v>
      </c>
      <c r="F230" s="16" t="n">
        <f aca="false">Sheet5_Multiple_Regression!$J$6+Sheet5_Multiple_Regression!$J$7*Sheet5_Multiple_Regression!A231+Sheet5_Multiple_Regression!$J$8*Sheet5_Multiple_Regression!B231+Sheet5_Multiple_Regression!$J$9*Sheet5_Multiple_Regression!C231+Sheet5_Multiple_Regression!$J$10*Sheet5_Multiple_Regression!D231+Sheet5_Multiple_Regression!$J$11*Sheet5_Multiple_Regression!E231+Sheet5_Multiple_Regression!$J$12*Sheet5_Multiple_Regression!F231+Sheet5_Multiple_Regression!$J$13*Sheet5_Multiple_Regression!G231</f>
        <v>542713.753189147</v>
      </c>
      <c r="G230" s="16" t="n">
        <f aca="false">E230-F230</f>
        <v>-6168.26318914711</v>
      </c>
    </row>
    <row r="231" customFormat="false" ht="15" hidden="false" customHeight="false" outlineLevel="0" collapsed="false">
      <c r="A231" s="6" t="str">
        <f aca="false">Sheet2_Cleaned_Data!A231</f>
        <v>STR-1057</v>
      </c>
      <c r="B231" s="6" t="str">
        <f aca="false">Sheet2_Cleaned_Data!B231</f>
        <v>2025-03-01</v>
      </c>
      <c r="C231" s="6" t="str">
        <f aca="false">Sheet2_Cleaned_Data!C231</f>
        <v>East</v>
      </c>
      <c r="D231" s="6" t="str">
        <f aca="false">Sheet2_Cleaned_Data!D231</f>
        <v>Mall</v>
      </c>
      <c r="E231" s="15" t="n">
        <f aca="false">Sheet2_Cleaned_Data!M231</f>
        <v>527681.56</v>
      </c>
      <c r="F231" s="16" t="n">
        <f aca="false">Sheet5_Multiple_Regression!$J$6+Sheet5_Multiple_Regression!$J$7*Sheet5_Multiple_Regression!A232+Sheet5_Multiple_Regression!$J$8*Sheet5_Multiple_Regression!B232+Sheet5_Multiple_Regression!$J$9*Sheet5_Multiple_Regression!C232+Sheet5_Multiple_Regression!$J$10*Sheet5_Multiple_Regression!D232+Sheet5_Multiple_Regression!$J$11*Sheet5_Multiple_Regression!E232+Sheet5_Multiple_Regression!$J$12*Sheet5_Multiple_Regression!F232+Sheet5_Multiple_Regression!$J$13*Sheet5_Multiple_Regression!G232</f>
        <v>568356.677431756</v>
      </c>
      <c r="G231" s="16" t="n">
        <f aca="false">E231-F231</f>
        <v>-40675.117431756</v>
      </c>
    </row>
    <row r="232" customFormat="false" ht="15" hidden="false" customHeight="false" outlineLevel="0" collapsed="false">
      <c r="A232" s="6" t="str">
        <f aca="false">Sheet2_Cleaned_Data!A232</f>
        <v>STR-1057</v>
      </c>
      <c r="B232" s="6" t="str">
        <f aca="false">Sheet2_Cleaned_Data!B232</f>
        <v>2025-04-01</v>
      </c>
      <c r="C232" s="6" t="str">
        <f aca="false">Sheet2_Cleaned_Data!C232</f>
        <v>East</v>
      </c>
      <c r="D232" s="6" t="str">
        <f aca="false">Sheet2_Cleaned_Data!D232</f>
        <v>Mall</v>
      </c>
      <c r="E232" s="15" t="n">
        <f aca="false">Sheet2_Cleaned_Data!M232</f>
        <v>529598.94</v>
      </c>
      <c r="F232" s="16" t="n">
        <f aca="false">Sheet5_Multiple_Regression!$J$6+Sheet5_Multiple_Regression!$J$7*Sheet5_Multiple_Regression!A233+Sheet5_Multiple_Regression!$J$8*Sheet5_Multiple_Regression!B233+Sheet5_Multiple_Regression!$J$9*Sheet5_Multiple_Regression!C233+Sheet5_Multiple_Regression!$J$10*Sheet5_Multiple_Regression!D233+Sheet5_Multiple_Regression!$J$11*Sheet5_Multiple_Regression!E233+Sheet5_Multiple_Regression!$J$12*Sheet5_Multiple_Regression!F233+Sheet5_Multiple_Regression!$J$13*Sheet5_Multiple_Regression!G233</f>
        <v>520121.806478828</v>
      </c>
      <c r="G232" s="16" t="n">
        <f aca="false">E232-F232</f>
        <v>9477.13352117199</v>
      </c>
    </row>
    <row r="233" customFormat="false" ht="15" hidden="false" customHeight="false" outlineLevel="0" collapsed="false">
      <c r="A233" s="6" t="str">
        <f aca="false">Sheet2_Cleaned_Data!A233</f>
        <v>STR-1058</v>
      </c>
      <c r="B233" s="6" t="str">
        <f aca="false">Sheet2_Cleaned_Data!B233</f>
        <v>2025-01-01</v>
      </c>
      <c r="C233" s="6" t="str">
        <f aca="false">Sheet2_Cleaned_Data!C233</f>
        <v>East</v>
      </c>
      <c r="D233" s="6" t="str">
        <f aca="false">Sheet2_Cleaned_Data!D233</f>
        <v>High Street</v>
      </c>
      <c r="E233" s="15" t="n">
        <f aca="false">Sheet2_Cleaned_Data!M233</f>
        <v>570963.31</v>
      </c>
      <c r="F233" s="16" t="n">
        <f aca="false">Sheet5_Multiple_Regression!$J$6+Sheet5_Multiple_Regression!$J$7*Sheet5_Multiple_Regression!A234+Sheet5_Multiple_Regression!$J$8*Sheet5_Multiple_Regression!B234+Sheet5_Multiple_Regression!$J$9*Sheet5_Multiple_Regression!C234+Sheet5_Multiple_Regression!$J$10*Sheet5_Multiple_Regression!D234+Sheet5_Multiple_Regression!$J$11*Sheet5_Multiple_Regression!E234+Sheet5_Multiple_Regression!$J$12*Sheet5_Multiple_Regression!F234+Sheet5_Multiple_Regression!$J$13*Sheet5_Multiple_Regression!G234</f>
        <v>634572.967562218</v>
      </c>
      <c r="G233" s="16" t="n">
        <f aca="false">E233-F233</f>
        <v>-63609.6575622181</v>
      </c>
    </row>
    <row r="234" customFormat="false" ht="15" hidden="false" customHeight="false" outlineLevel="0" collapsed="false">
      <c r="A234" s="6" t="str">
        <f aca="false">Sheet2_Cleaned_Data!A234</f>
        <v>STR-1058</v>
      </c>
      <c r="B234" s="6" t="str">
        <f aca="false">Sheet2_Cleaned_Data!B234</f>
        <v>2025-02-01</v>
      </c>
      <c r="C234" s="6" t="str">
        <f aca="false">Sheet2_Cleaned_Data!C234</f>
        <v>East</v>
      </c>
      <c r="D234" s="6" t="str">
        <f aca="false">Sheet2_Cleaned_Data!D234</f>
        <v>High Street</v>
      </c>
      <c r="E234" s="15" t="n">
        <f aca="false">Sheet2_Cleaned_Data!M234</f>
        <v>870937.4</v>
      </c>
      <c r="F234" s="16" t="n">
        <f aca="false">Sheet5_Multiple_Regression!$J$6+Sheet5_Multiple_Regression!$J$7*Sheet5_Multiple_Regression!A235+Sheet5_Multiple_Regression!$J$8*Sheet5_Multiple_Regression!B235+Sheet5_Multiple_Regression!$J$9*Sheet5_Multiple_Regression!C235+Sheet5_Multiple_Regression!$J$10*Sheet5_Multiple_Regression!D235+Sheet5_Multiple_Regression!$J$11*Sheet5_Multiple_Regression!E235+Sheet5_Multiple_Regression!$J$12*Sheet5_Multiple_Regression!F235+Sheet5_Multiple_Regression!$J$13*Sheet5_Multiple_Regression!G235</f>
        <v>817939.951224082</v>
      </c>
      <c r="G234" s="16" t="n">
        <f aca="false">E234-F234</f>
        <v>52997.4487759179</v>
      </c>
    </row>
    <row r="235" customFormat="false" ht="15" hidden="false" customHeight="false" outlineLevel="0" collapsed="false">
      <c r="A235" s="6" t="str">
        <f aca="false">Sheet2_Cleaned_Data!A235</f>
        <v>STR-1058</v>
      </c>
      <c r="B235" s="6" t="str">
        <f aca="false">Sheet2_Cleaned_Data!B235</f>
        <v>2025-03-01</v>
      </c>
      <c r="C235" s="6" t="str">
        <f aca="false">Sheet2_Cleaned_Data!C235</f>
        <v>East</v>
      </c>
      <c r="D235" s="6" t="str">
        <f aca="false">Sheet2_Cleaned_Data!D235</f>
        <v>High Street</v>
      </c>
      <c r="E235" s="15" t="n">
        <f aca="false">Sheet2_Cleaned_Data!M235</f>
        <v>596969.27</v>
      </c>
      <c r="F235" s="16" t="n">
        <f aca="false">Sheet5_Multiple_Regression!$J$6+Sheet5_Multiple_Regression!$J$7*Sheet5_Multiple_Regression!A236+Sheet5_Multiple_Regression!$J$8*Sheet5_Multiple_Regression!B236+Sheet5_Multiple_Regression!$J$9*Sheet5_Multiple_Regression!C236+Sheet5_Multiple_Regression!$J$10*Sheet5_Multiple_Regression!D236+Sheet5_Multiple_Regression!$J$11*Sheet5_Multiple_Regression!E236+Sheet5_Multiple_Regression!$J$12*Sheet5_Multiple_Regression!F236+Sheet5_Multiple_Regression!$J$13*Sheet5_Multiple_Regression!G236</f>
        <v>639254.483037861</v>
      </c>
      <c r="G235" s="16" t="n">
        <f aca="false">E235-F235</f>
        <v>-42285.2130378612</v>
      </c>
    </row>
    <row r="236" customFormat="false" ht="15" hidden="false" customHeight="false" outlineLevel="0" collapsed="false">
      <c r="A236" s="6" t="str">
        <f aca="false">Sheet2_Cleaned_Data!A236</f>
        <v>STR-1058</v>
      </c>
      <c r="B236" s="6" t="str">
        <f aca="false">Sheet2_Cleaned_Data!B236</f>
        <v>2025-04-01</v>
      </c>
      <c r="C236" s="6" t="str">
        <f aca="false">Sheet2_Cleaned_Data!C236</f>
        <v>East</v>
      </c>
      <c r="D236" s="6" t="str">
        <f aca="false">Sheet2_Cleaned_Data!D236</f>
        <v>High Street</v>
      </c>
      <c r="E236" s="15" t="n">
        <f aca="false">Sheet2_Cleaned_Data!M236</f>
        <v>647512.85</v>
      </c>
      <c r="F236" s="16" t="n">
        <f aca="false">Sheet5_Multiple_Regression!$J$6+Sheet5_Multiple_Regression!$J$7*Sheet5_Multiple_Regression!A237+Sheet5_Multiple_Regression!$J$8*Sheet5_Multiple_Regression!B237+Sheet5_Multiple_Regression!$J$9*Sheet5_Multiple_Regression!C237+Sheet5_Multiple_Regression!$J$10*Sheet5_Multiple_Regression!D237+Sheet5_Multiple_Regression!$J$11*Sheet5_Multiple_Regression!E237+Sheet5_Multiple_Regression!$J$12*Sheet5_Multiple_Regression!F237+Sheet5_Multiple_Regression!$J$13*Sheet5_Multiple_Regression!G237</f>
        <v>637025.165028421</v>
      </c>
      <c r="G236" s="16" t="n">
        <f aca="false">E236-F236</f>
        <v>10487.6849715792</v>
      </c>
    </row>
    <row r="237" customFormat="false" ht="15" hidden="false" customHeight="false" outlineLevel="0" collapsed="false">
      <c r="A237" s="6" t="str">
        <f aca="false">Sheet2_Cleaned_Data!A237</f>
        <v>STR-1059</v>
      </c>
      <c r="B237" s="6" t="str">
        <f aca="false">Sheet2_Cleaned_Data!B237</f>
        <v>2025-01-01</v>
      </c>
      <c r="C237" s="6" t="str">
        <f aca="false">Sheet2_Cleaned_Data!C237</f>
        <v>West</v>
      </c>
      <c r="D237" s="6" t="str">
        <f aca="false">Sheet2_Cleaned_Data!D237</f>
        <v>Residential</v>
      </c>
      <c r="E237" s="15" t="n">
        <f aca="false">Sheet2_Cleaned_Data!M237</f>
        <v>658072.14</v>
      </c>
      <c r="F237" s="16" t="n">
        <f aca="false">Sheet5_Multiple_Regression!$J$6+Sheet5_Multiple_Regression!$J$7*Sheet5_Multiple_Regression!A238+Sheet5_Multiple_Regression!$J$8*Sheet5_Multiple_Regression!B238+Sheet5_Multiple_Regression!$J$9*Sheet5_Multiple_Regression!C238+Sheet5_Multiple_Regression!$J$10*Sheet5_Multiple_Regression!D238+Sheet5_Multiple_Regression!$J$11*Sheet5_Multiple_Regression!E238+Sheet5_Multiple_Regression!$J$12*Sheet5_Multiple_Regression!F238+Sheet5_Multiple_Regression!$J$13*Sheet5_Multiple_Regression!G238</f>
        <v>600891.361075061</v>
      </c>
      <c r="G237" s="16" t="n">
        <f aca="false">E237-F237</f>
        <v>57180.7789249386</v>
      </c>
    </row>
    <row r="238" customFormat="false" ht="15" hidden="false" customHeight="false" outlineLevel="0" collapsed="false">
      <c r="A238" s="6" t="str">
        <f aca="false">Sheet2_Cleaned_Data!A238</f>
        <v>STR-1059</v>
      </c>
      <c r="B238" s="6" t="str">
        <f aca="false">Sheet2_Cleaned_Data!B238</f>
        <v>2025-02-01</v>
      </c>
      <c r="C238" s="6" t="str">
        <f aca="false">Sheet2_Cleaned_Data!C238</f>
        <v>West</v>
      </c>
      <c r="D238" s="6" t="str">
        <f aca="false">Sheet2_Cleaned_Data!D238</f>
        <v>Residential</v>
      </c>
      <c r="E238" s="15" t="n">
        <f aca="false">Sheet2_Cleaned_Data!M238</f>
        <v>723305.11</v>
      </c>
      <c r="F238" s="16" t="n">
        <f aca="false">Sheet5_Multiple_Regression!$J$6+Sheet5_Multiple_Regression!$J$7*Sheet5_Multiple_Regression!A239+Sheet5_Multiple_Regression!$J$8*Sheet5_Multiple_Regression!B239+Sheet5_Multiple_Regression!$J$9*Sheet5_Multiple_Regression!C239+Sheet5_Multiple_Regression!$J$10*Sheet5_Multiple_Regression!D239+Sheet5_Multiple_Regression!$J$11*Sheet5_Multiple_Regression!E239+Sheet5_Multiple_Regression!$J$12*Sheet5_Multiple_Regression!F239+Sheet5_Multiple_Regression!$J$13*Sheet5_Multiple_Regression!G239</f>
        <v>631602.293532916</v>
      </c>
      <c r="G238" s="16" t="n">
        <f aca="false">E238-F238</f>
        <v>91702.8164670838</v>
      </c>
    </row>
    <row r="239" customFormat="false" ht="15" hidden="false" customHeight="false" outlineLevel="0" collapsed="false">
      <c r="A239" s="6" t="str">
        <f aca="false">Sheet2_Cleaned_Data!A239</f>
        <v>STR-1059</v>
      </c>
      <c r="B239" s="6" t="str">
        <f aca="false">Sheet2_Cleaned_Data!B239</f>
        <v>2025-03-01</v>
      </c>
      <c r="C239" s="6" t="str">
        <f aca="false">Sheet2_Cleaned_Data!C239</f>
        <v>West</v>
      </c>
      <c r="D239" s="6" t="str">
        <f aca="false">Sheet2_Cleaned_Data!D239</f>
        <v>Residential</v>
      </c>
      <c r="E239" s="15" t="n">
        <f aca="false">Sheet2_Cleaned_Data!M239</f>
        <v>640666.53</v>
      </c>
      <c r="F239" s="16" t="n">
        <f aca="false">Sheet5_Multiple_Regression!$J$6+Sheet5_Multiple_Regression!$J$7*Sheet5_Multiple_Regression!A240+Sheet5_Multiple_Regression!$J$8*Sheet5_Multiple_Regression!B240+Sheet5_Multiple_Regression!$J$9*Sheet5_Multiple_Regression!C240+Sheet5_Multiple_Regression!$J$10*Sheet5_Multiple_Regression!D240+Sheet5_Multiple_Regression!$J$11*Sheet5_Multiple_Regression!E240+Sheet5_Multiple_Regression!$J$12*Sheet5_Multiple_Regression!F240+Sheet5_Multiple_Regression!$J$13*Sheet5_Multiple_Regression!G240</f>
        <v>618593.672995512</v>
      </c>
      <c r="G239" s="16" t="n">
        <f aca="false">E239-F239</f>
        <v>22072.8570044877</v>
      </c>
    </row>
    <row r="240" customFormat="false" ht="15" hidden="false" customHeight="false" outlineLevel="0" collapsed="false">
      <c r="A240" s="6" t="str">
        <f aca="false">Sheet2_Cleaned_Data!A240</f>
        <v>STR-1059</v>
      </c>
      <c r="B240" s="6" t="str">
        <f aca="false">Sheet2_Cleaned_Data!B240</f>
        <v>2025-04-01</v>
      </c>
      <c r="C240" s="6" t="str">
        <f aca="false">Sheet2_Cleaned_Data!C240</f>
        <v>West</v>
      </c>
      <c r="D240" s="6" t="str">
        <f aca="false">Sheet2_Cleaned_Data!D240</f>
        <v>Residential</v>
      </c>
      <c r="E240" s="15" t="n">
        <f aca="false">Sheet2_Cleaned_Data!M240</f>
        <v>670629.48</v>
      </c>
      <c r="F240" s="16" t="n">
        <f aca="false">Sheet5_Multiple_Regression!$J$6+Sheet5_Multiple_Regression!$J$7*Sheet5_Multiple_Regression!A241+Sheet5_Multiple_Regression!$J$8*Sheet5_Multiple_Regression!B241+Sheet5_Multiple_Regression!$J$9*Sheet5_Multiple_Regression!C241+Sheet5_Multiple_Regression!$J$10*Sheet5_Multiple_Regression!D241+Sheet5_Multiple_Regression!$J$11*Sheet5_Multiple_Regression!E241+Sheet5_Multiple_Regression!$J$12*Sheet5_Multiple_Regression!F241+Sheet5_Multiple_Regression!$J$13*Sheet5_Multiple_Regression!G241</f>
        <v>653590.737987942</v>
      </c>
      <c r="G240" s="16" t="n">
        <f aca="false">E240-F240</f>
        <v>17038.7420120584</v>
      </c>
    </row>
    <row r="241" customFormat="false" ht="15" hidden="false" customHeight="false" outlineLevel="0" collapsed="false">
      <c r="A241" s="6" t="str">
        <f aca="false">Sheet2_Cleaned_Data!A241</f>
        <v>STR-1060</v>
      </c>
      <c r="B241" s="6" t="str">
        <f aca="false">Sheet2_Cleaned_Data!B241</f>
        <v>2025-01-01</v>
      </c>
      <c r="C241" s="6" t="str">
        <f aca="false">Sheet2_Cleaned_Data!C241</f>
        <v>West</v>
      </c>
      <c r="D241" s="6" t="str">
        <f aca="false">Sheet2_Cleaned_Data!D241</f>
        <v>Mall</v>
      </c>
      <c r="E241" s="15" t="n">
        <f aca="false">Sheet2_Cleaned_Data!M241</f>
        <v>721079.35</v>
      </c>
      <c r="F241" s="16" t="n">
        <f aca="false">Sheet5_Multiple_Regression!$J$6+Sheet5_Multiple_Regression!$J$7*Sheet5_Multiple_Regression!A242+Sheet5_Multiple_Regression!$J$8*Sheet5_Multiple_Regression!B242+Sheet5_Multiple_Regression!$J$9*Sheet5_Multiple_Regression!C242+Sheet5_Multiple_Regression!$J$10*Sheet5_Multiple_Regression!D242+Sheet5_Multiple_Regression!$J$11*Sheet5_Multiple_Regression!E242+Sheet5_Multiple_Regression!$J$12*Sheet5_Multiple_Regression!F242+Sheet5_Multiple_Regression!$J$13*Sheet5_Multiple_Regression!G242</f>
        <v>797261.573857841</v>
      </c>
      <c r="G241" s="16" t="n">
        <f aca="false">E241-F241</f>
        <v>-76182.2238578405</v>
      </c>
    </row>
    <row r="242" customFormat="false" ht="15" hidden="false" customHeight="false" outlineLevel="0" collapsed="false">
      <c r="A242" s="6" t="str">
        <f aca="false">Sheet2_Cleaned_Data!A242</f>
        <v>STR-1060</v>
      </c>
      <c r="B242" s="6" t="str">
        <f aca="false">Sheet2_Cleaned_Data!B242</f>
        <v>2025-02-01</v>
      </c>
      <c r="C242" s="6" t="str">
        <f aca="false">Sheet2_Cleaned_Data!C242</f>
        <v>West</v>
      </c>
      <c r="D242" s="6" t="str">
        <f aca="false">Sheet2_Cleaned_Data!D242</f>
        <v>Mall</v>
      </c>
      <c r="E242" s="15" t="n">
        <f aca="false">Sheet2_Cleaned_Data!M242</f>
        <v>810355.02</v>
      </c>
      <c r="F242" s="16" t="n">
        <f aca="false">Sheet5_Multiple_Regression!$J$6+Sheet5_Multiple_Regression!$J$7*Sheet5_Multiple_Regression!A243+Sheet5_Multiple_Regression!$J$8*Sheet5_Multiple_Regression!B243+Sheet5_Multiple_Regression!$J$9*Sheet5_Multiple_Regression!C243+Sheet5_Multiple_Regression!$J$10*Sheet5_Multiple_Regression!D243+Sheet5_Multiple_Regression!$J$11*Sheet5_Multiple_Regression!E243+Sheet5_Multiple_Regression!$J$12*Sheet5_Multiple_Regression!F243+Sheet5_Multiple_Regression!$J$13*Sheet5_Multiple_Regression!G243</f>
        <v>831054.071926783</v>
      </c>
      <c r="G242" s="16" t="n">
        <f aca="false">E242-F242</f>
        <v>-20699.0519267833</v>
      </c>
    </row>
    <row r="243" customFormat="false" ht="15" hidden="false" customHeight="false" outlineLevel="0" collapsed="false">
      <c r="A243" s="6" t="str">
        <f aca="false">Sheet2_Cleaned_Data!A243</f>
        <v>STR-1060</v>
      </c>
      <c r="B243" s="6" t="str">
        <f aca="false">Sheet2_Cleaned_Data!B243</f>
        <v>2025-03-01</v>
      </c>
      <c r="C243" s="6" t="str">
        <f aca="false">Sheet2_Cleaned_Data!C243</f>
        <v>West</v>
      </c>
      <c r="D243" s="6" t="str">
        <f aca="false">Sheet2_Cleaned_Data!D243</f>
        <v>Mall</v>
      </c>
      <c r="E243" s="15" t="n">
        <f aca="false">Sheet2_Cleaned_Data!M243</f>
        <v>761919.25</v>
      </c>
      <c r="F243" s="16" t="n">
        <f aca="false">Sheet5_Multiple_Regression!$J$6+Sheet5_Multiple_Regression!$J$7*Sheet5_Multiple_Regression!A244+Sheet5_Multiple_Regression!$J$8*Sheet5_Multiple_Regression!B244+Sheet5_Multiple_Regression!$J$9*Sheet5_Multiple_Regression!C244+Sheet5_Multiple_Regression!$J$10*Sheet5_Multiple_Regression!D244+Sheet5_Multiple_Regression!$J$11*Sheet5_Multiple_Regression!E244+Sheet5_Multiple_Regression!$J$12*Sheet5_Multiple_Regression!F244+Sheet5_Multiple_Regression!$J$13*Sheet5_Multiple_Regression!G244</f>
        <v>774746.889186414</v>
      </c>
      <c r="G243" s="16" t="n">
        <f aca="false">E243-F243</f>
        <v>-12827.6391864141</v>
      </c>
    </row>
    <row r="244" customFormat="false" ht="15" hidden="false" customHeight="false" outlineLevel="0" collapsed="false">
      <c r="A244" s="6" t="str">
        <f aca="false">Sheet2_Cleaned_Data!A244</f>
        <v>STR-1060</v>
      </c>
      <c r="B244" s="6" t="str">
        <f aca="false">Sheet2_Cleaned_Data!B244</f>
        <v>2025-04-01</v>
      </c>
      <c r="C244" s="6" t="str">
        <f aca="false">Sheet2_Cleaned_Data!C244</f>
        <v>West</v>
      </c>
      <c r="D244" s="6" t="str">
        <f aca="false">Sheet2_Cleaned_Data!D244</f>
        <v>Mall</v>
      </c>
      <c r="E244" s="15" t="n">
        <f aca="false">Sheet2_Cleaned_Data!M244</f>
        <v>737070.18</v>
      </c>
      <c r="F244" s="16" t="n">
        <f aca="false">Sheet5_Multiple_Regression!$J$6+Sheet5_Multiple_Regression!$J$7*Sheet5_Multiple_Regression!A245+Sheet5_Multiple_Regression!$J$8*Sheet5_Multiple_Regression!B245+Sheet5_Multiple_Regression!$J$9*Sheet5_Multiple_Regression!C245+Sheet5_Multiple_Regression!$J$10*Sheet5_Multiple_Regression!D245+Sheet5_Multiple_Regression!$J$11*Sheet5_Multiple_Regression!E245+Sheet5_Multiple_Regression!$J$12*Sheet5_Multiple_Regression!F245+Sheet5_Multiple_Regression!$J$13*Sheet5_Multiple_Regression!G245</f>
        <v>732730.164223607</v>
      </c>
      <c r="G244" s="16" t="n">
        <f aca="false">E244-F244</f>
        <v>4340.01577639289</v>
      </c>
    </row>
    <row r="245" customFormat="false" ht="15" hidden="false" customHeight="false" outlineLevel="0" collapsed="false">
      <c r="A245" s="6" t="str">
        <f aca="false">Sheet2_Cleaned_Data!A245</f>
        <v>STR-1061</v>
      </c>
      <c r="B245" s="6" t="str">
        <f aca="false">Sheet2_Cleaned_Data!B245</f>
        <v>2025-01-01</v>
      </c>
      <c r="C245" s="6" t="str">
        <f aca="false">Sheet2_Cleaned_Data!C245</f>
        <v>South</v>
      </c>
      <c r="D245" s="6" t="str">
        <f aca="false">Sheet2_Cleaned_Data!D245</f>
        <v>Airport</v>
      </c>
      <c r="E245" s="15" t="n">
        <f aca="false">Sheet2_Cleaned_Data!M245</f>
        <v>776992.93</v>
      </c>
      <c r="F245" s="16" t="n">
        <f aca="false">Sheet5_Multiple_Regression!$J$6+Sheet5_Multiple_Regression!$J$7*Sheet5_Multiple_Regression!A246+Sheet5_Multiple_Regression!$J$8*Sheet5_Multiple_Regression!B246+Sheet5_Multiple_Regression!$J$9*Sheet5_Multiple_Regression!C246+Sheet5_Multiple_Regression!$J$10*Sheet5_Multiple_Regression!D246+Sheet5_Multiple_Regression!$J$11*Sheet5_Multiple_Regression!E246+Sheet5_Multiple_Regression!$J$12*Sheet5_Multiple_Regression!F246+Sheet5_Multiple_Regression!$J$13*Sheet5_Multiple_Regression!G246</f>
        <v>751799.845250416</v>
      </c>
      <c r="G245" s="16" t="n">
        <f aca="false">E245-F245</f>
        <v>25193.0847495837</v>
      </c>
    </row>
    <row r="246" customFormat="false" ht="15" hidden="false" customHeight="false" outlineLevel="0" collapsed="false">
      <c r="A246" s="6" t="str">
        <f aca="false">Sheet2_Cleaned_Data!A246</f>
        <v>STR-1061</v>
      </c>
      <c r="B246" s="6" t="str">
        <f aca="false">Sheet2_Cleaned_Data!B246</f>
        <v>2025-02-01</v>
      </c>
      <c r="C246" s="6" t="str">
        <f aca="false">Sheet2_Cleaned_Data!C246</f>
        <v>South</v>
      </c>
      <c r="D246" s="6" t="str">
        <f aca="false">Sheet2_Cleaned_Data!D246</f>
        <v>Airport</v>
      </c>
      <c r="E246" s="15" t="n">
        <f aca="false">Sheet2_Cleaned_Data!M246</f>
        <v>676337.41</v>
      </c>
      <c r="F246" s="16" t="n">
        <f aca="false">Sheet5_Multiple_Regression!$J$6+Sheet5_Multiple_Regression!$J$7*Sheet5_Multiple_Regression!A247+Sheet5_Multiple_Regression!$J$8*Sheet5_Multiple_Regression!B247+Sheet5_Multiple_Regression!$J$9*Sheet5_Multiple_Regression!C247+Sheet5_Multiple_Regression!$J$10*Sheet5_Multiple_Regression!D247+Sheet5_Multiple_Regression!$J$11*Sheet5_Multiple_Regression!E247+Sheet5_Multiple_Regression!$J$12*Sheet5_Multiple_Regression!F247+Sheet5_Multiple_Regression!$J$13*Sheet5_Multiple_Regression!G247</f>
        <v>662432.914967972</v>
      </c>
      <c r="G246" s="16" t="n">
        <f aca="false">E246-F246</f>
        <v>13904.4950320277</v>
      </c>
    </row>
    <row r="247" customFormat="false" ht="15" hidden="false" customHeight="false" outlineLevel="0" collapsed="false">
      <c r="A247" s="6" t="str">
        <f aca="false">Sheet2_Cleaned_Data!A247</f>
        <v>STR-1061</v>
      </c>
      <c r="B247" s="6" t="str">
        <f aca="false">Sheet2_Cleaned_Data!B247</f>
        <v>2025-03-01</v>
      </c>
      <c r="C247" s="6" t="str">
        <f aca="false">Sheet2_Cleaned_Data!C247</f>
        <v>South</v>
      </c>
      <c r="D247" s="6" t="str">
        <f aca="false">Sheet2_Cleaned_Data!D247</f>
        <v>Airport</v>
      </c>
      <c r="E247" s="15" t="n">
        <f aca="false">Sheet2_Cleaned_Data!M247</f>
        <v>828219.67</v>
      </c>
      <c r="F247" s="16" t="n">
        <f aca="false">Sheet5_Multiple_Regression!$J$6+Sheet5_Multiple_Regression!$J$7*Sheet5_Multiple_Regression!A248+Sheet5_Multiple_Regression!$J$8*Sheet5_Multiple_Regression!B248+Sheet5_Multiple_Regression!$J$9*Sheet5_Multiple_Regression!C248+Sheet5_Multiple_Regression!$J$10*Sheet5_Multiple_Regression!D248+Sheet5_Multiple_Regression!$J$11*Sheet5_Multiple_Regression!E248+Sheet5_Multiple_Regression!$J$12*Sheet5_Multiple_Regression!F248+Sheet5_Multiple_Regression!$J$13*Sheet5_Multiple_Regression!G248</f>
        <v>826083.819461436</v>
      </c>
      <c r="G247" s="16" t="n">
        <f aca="false">E247-F247</f>
        <v>2135.8505385638</v>
      </c>
    </row>
    <row r="248" customFormat="false" ht="15" hidden="false" customHeight="false" outlineLevel="0" collapsed="false">
      <c r="A248" s="6" t="str">
        <f aca="false">Sheet2_Cleaned_Data!A248</f>
        <v>STR-1061</v>
      </c>
      <c r="B248" s="6" t="str">
        <f aca="false">Sheet2_Cleaned_Data!B248</f>
        <v>2025-04-01</v>
      </c>
      <c r="C248" s="6" t="str">
        <f aca="false">Sheet2_Cleaned_Data!C248</f>
        <v>South</v>
      </c>
      <c r="D248" s="6" t="str">
        <f aca="false">Sheet2_Cleaned_Data!D248</f>
        <v>Airport</v>
      </c>
      <c r="E248" s="15" t="n">
        <f aca="false">Sheet2_Cleaned_Data!M248</f>
        <v>763159.92</v>
      </c>
      <c r="F248" s="16" t="n">
        <f aca="false">Sheet5_Multiple_Regression!$J$6+Sheet5_Multiple_Regression!$J$7*Sheet5_Multiple_Regression!A249+Sheet5_Multiple_Regression!$J$8*Sheet5_Multiple_Regression!B249+Sheet5_Multiple_Regression!$J$9*Sheet5_Multiple_Regression!C249+Sheet5_Multiple_Regression!$J$10*Sheet5_Multiple_Regression!D249+Sheet5_Multiple_Regression!$J$11*Sheet5_Multiple_Regression!E249+Sheet5_Multiple_Regression!$J$12*Sheet5_Multiple_Regression!F249+Sheet5_Multiple_Regression!$J$13*Sheet5_Multiple_Regression!G249</f>
        <v>776390.971065997</v>
      </c>
      <c r="G248" s="16" t="n">
        <f aca="false">E248-F248</f>
        <v>-13231.0510659966</v>
      </c>
    </row>
    <row r="249" customFormat="false" ht="15" hidden="false" customHeight="false" outlineLevel="0" collapsed="false">
      <c r="A249" s="6" t="str">
        <f aca="false">Sheet2_Cleaned_Data!A249</f>
        <v>STR-1062</v>
      </c>
      <c r="B249" s="6" t="str">
        <f aca="false">Sheet2_Cleaned_Data!B249</f>
        <v>2025-01-01</v>
      </c>
      <c r="C249" s="6" t="str">
        <f aca="false">Sheet2_Cleaned_Data!C249</f>
        <v>East</v>
      </c>
      <c r="D249" s="6" t="str">
        <f aca="false">Sheet2_Cleaned_Data!D249</f>
        <v>High Street</v>
      </c>
      <c r="E249" s="15" t="n">
        <f aca="false">Sheet2_Cleaned_Data!M249</f>
        <v>802001.68</v>
      </c>
      <c r="F249" s="16" t="n">
        <f aca="false">Sheet5_Multiple_Regression!$J$6+Sheet5_Multiple_Regression!$J$7*Sheet5_Multiple_Regression!A250+Sheet5_Multiple_Regression!$J$8*Sheet5_Multiple_Regression!B250+Sheet5_Multiple_Regression!$J$9*Sheet5_Multiple_Regression!C250+Sheet5_Multiple_Regression!$J$10*Sheet5_Multiple_Regression!D250+Sheet5_Multiple_Regression!$J$11*Sheet5_Multiple_Regression!E250+Sheet5_Multiple_Regression!$J$12*Sheet5_Multiple_Regression!F250+Sheet5_Multiple_Regression!$J$13*Sheet5_Multiple_Regression!G250</f>
        <v>795506.492942945</v>
      </c>
      <c r="G249" s="16" t="n">
        <f aca="false">E249-F249</f>
        <v>6495.18705705472</v>
      </c>
    </row>
    <row r="250" customFormat="false" ht="15" hidden="false" customHeight="false" outlineLevel="0" collapsed="false">
      <c r="A250" s="6" t="str">
        <f aca="false">Sheet2_Cleaned_Data!A250</f>
        <v>STR-1062</v>
      </c>
      <c r="B250" s="6" t="str">
        <f aca="false">Sheet2_Cleaned_Data!B250</f>
        <v>2025-02-01</v>
      </c>
      <c r="C250" s="6" t="str">
        <f aca="false">Sheet2_Cleaned_Data!C250</f>
        <v>East</v>
      </c>
      <c r="D250" s="6" t="str">
        <f aca="false">Sheet2_Cleaned_Data!D250</f>
        <v>High Street</v>
      </c>
      <c r="E250" s="15" t="n">
        <f aca="false">Sheet2_Cleaned_Data!M250</f>
        <v>750471.34</v>
      </c>
      <c r="F250" s="16" t="n">
        <f aca="false">Sheet5_Multiple_Regression!$J$6+Sheet5_Multiple_Regression!$J$7*Sheet5_Multiple_Regression!A251+Sheet5_Multiple_Regression!$J$8*Sheet5_Multiple_Regression!B251+Sheet5_Multiple_Regression!$J$9*Sheet5_Multiple_Regression!C251+Sheet5_Multiple_Regression!$J$10*Sheet5_Multiple_Regression!D251+Sheet5_Multiple_Regression!$J$11*Sheet5_Multiple_Regression!E251+Sheet5_Multiple_Regression!$J$12*Sheet5_Multiple_Regression!F251+Sheet5_Multiple_Regression!$J$13*Sheet5_Multiple_Regression!G251</f>
        <v>756726.889086161</v>
      </c>
      <c r="G250" s="16" t="n">
        <f aca="false">E250-F250</f>
        <v>-6255.54908616107</v>
      </c>
    </row>
    <row r="251" customFormat="false" ht="15" hidden="false" customHeight="false" outlineLevel="0" collapsed="false">
      <c r="A251" s="6" t="str">
        <f aca="false">Sheet2_Cleaned_Data!A251</f>
        <v>STR-1062</v>
      </c>
      <c r="B251" s="6" t="str">
        <f aca="false">Sheet2_Cleaned_Data!B251</f>
        <v>2025-03-01</v>
      </c>
      <c r="C251" s="6" t="str">
        <f aca="false">Sheet2_Cleaned_Data!C251</f>
        <v>East</v>
      </c>
      <c r="D251" s="6" t="str">
        <f aca="false">Sheet2_Cleaned_Data!D251</f>
        <v>High Street</v>
      </c>
      <c r="E251" s="15" t="n">
        <f aca="false">Sheet2_Cleaned_Data!M251</f>
        <v>679230.86</v>
      </c>
      <c r="F251" s="16" t="n">
        <f aca="false">Sheet5_Multiple_Regression!$J$6+Sheet5_Multiple_Regression!$J$7*Sheet5_Multiple_Regression!A252+Sheet5_Multiple_Regression!$J$8*Sheet5_Multiple_Regression!B252+Sheet5_Multiple_Regression!$J$9*Sheet5_Multiple_Regression!C252+Sheet5_Multiple_Regression!$J$10*Sheet5_Multiple_Regression!D252+Sheet5_Multiple_Regression!$J$11*Sheet5_Multiple_Regression!E252+Sheet5_Multiple_Regression!$J$12*Sheet5_Multiple_Regression!F252+Sheet5_Multiple_Regression!$J$13*Sheet5_Multiple_Regression!G252</f>
        <v>715179.051712673</v>
      </c>
      <c r="G251" s="16" t="n">
        <f aca="false">E251-F251</f>
        <v>-35948.1917126731</v>
      </c>
    </row>
    <row r="252" customFormat="false" ht="15" hidden="false" customHeight="false" outlineLevel="0" collapsed="false">
      <c r="A252" s="6" t="str">
        <f aca="false">Sheet2_Cleaned_Data!A252</f>
        <v>STR-1062</v>
      </c>
      <c r="B252" s="6" t="str">
        <f aca="false">Sheet2_Cleaned_Data!B252</f>
        <v>2025-04-01</v>
      </c>
      <c r="C252" s="6" t="str">
        <f aca="false">Sheet2_Cleaned_Data!C252</f>
        <v>East</v>
      </c>
      <c r="D252" s="6" t="str">
        <f aca="false">Sheet2_Cleaned_Data!D252</f>
        <v>High Street</v>
      </c>
      <c r="E252" s="15" t="n">
        <f aca="false">Sheet2_Cleaned_Data!M252</f>
        <v>679888.74</v>
      </c>
      <c r="F252" s="16" t="n">
        <f aca="false">Sheet5_Multiple_Regression!$J$6+Sheet5_Multiple_Regression!$J$7*Sheet5_Multiple_Regression!A253+Sheet5_Multiple_Regression!$J$8*Sheet5_Multiple_Regression!B253+Sheet5_Multiple_Regression!$J$9*Sheet5_Multiple_Regression!C253+Sheet5_Multiple_Regression!$J$10*Sheet5_Multiple_Regression!D253+Sheet5_Multiple_Regression!$J$11*Sheet5_Multiple_Regression!E253+Sheet5_Multiple_Regression!$J$12*Sheet5_Multiple_Regression!F253+Sheet5_Multiple_Regression!$J$13*Sheet5_Multiple_Regression!G253</f>
        <v>693268.285200496</v>
      </c>
      <c r="G252" s="16" t="n">
        <f aca="false">E252-F252</f>
        <v>-13379.5452004955</v>
      </c>
    </row>
    <row r="253" customFormat="false" ht="15" hidden="false" customHeight="false" outlineLevel="0" collapsed="false">
      <c r="A253" s="6" t="str">
        <f aca="false">Sheet2_Cleaned_Data!A253</f>
        <v>STR-1063</v>
      </c>
      <c r="B253" s="6" t="str">
        <f aca="false">Sheet2_Cleaned_Data!B253</f>
        <v>2025-01-01</v>
      </c>
      <c r="C253" s="6" t="str">
        <f aca="false">Sheet2_Cleaned_Data!C253</f>
        <v>North</v>
      </c>
      <c r="D253" s="6" t="str">
        <f aca="false">Sheet2_Cleaned_Data!D253</f>
        <v>High Street</v>
      </c>
      <c r="E253" s="15" t="n">
        <f aca="false">Sheet2_Cleaned_Data!M253</f>
        <v>606783.67</v>
      </c>
      <c r="F253" s="16" t="n">
        <f aca="false">Sheet5_Multiple_Regression!$J$6+Sheet5_Multiple_Regression!$J$7*Sheet5_Multiple_Regression!A254+Sheet5_Multiple_Regression!$J$8*Sheet5_Multiple_Regression!B254+Sheet5_Multiple_Regression!$J$9*Sheet5_Multiple_Regression!C254+Sheet5_Multiple_Regression!$J$10*Sheet5_Multiple_Regression!D254+Sheet5_Multiple_Regression!$J$11*Sheet5_Multiple_Regression!E254+Sheet5_Multiple_Regression!$J$12*Sheet5_Multiple_Regression!F254+Sheet5_Multiple_Regression!$J$13*Sheet5_Multiple_Regression!G254</f>
        <v>594636.250718059</v>
      </c>
      <c r="G253" s="16" t="n">
        <f aca="false">E253-F253</f>
        <v>12147.4192819408</v>
      </c>
    </row>
    <row r="254" customFormat="false" ht="15" hidden="false" customHeight="false" outlineLevel="0" collapsed="false">
      <c r="A254" s="6" t="str">
        <f aca="false">Sheet2_Cleaned_Data!A254</f>
        <v>STR-1063</v>
      </c>
      <c r="B254" s="6" t="str">
        <f aca="false">Sheet2_Cleaned_Data!B254</f>
        <v>2025-02-01</v>
      </c>
      <c r="C254" s="6" t="str">
        <f aca="false">Sheet2_Cleaned_Data!C254</f>
        <v>North</v>
      </c>
      <c r="D254" s="6" t="str">
        <f aca="false">Sheet2_Cleaned_Data!D254</f>
        <v>High Street</v>
      </c>
      <c r="E254" s="15" t="n">
        <f aca="false">Sheet2_Cleaned_Data!M254</f>
        <v>642751.42</v>
      </c>
      <c r="F254" s="16" t="n">
        <f aca="false">Sheet5_Multiple_Regression!$J$6+Sheet5_Multiple_Regression!$J$7*Sheet5_Multiple_Regression!A255+Sheet5_Multiple_Regression!$J$8*Sheet5_Multiple_Regression!B255+Sheet5_Multiple_Regression!$J$9*Sheet5_Multiple_Regression!C255+Sheet5_Multiple_Regression!$J$10*Sheet5_Multiple_Regression!D255+Sheet5_Multiple_Regression!$J$11*Sheet5_Multiple_Regression!E255+Sheet5_Multiple_Regression!$J$12*Sheet5_Multiple_Regression!F255+Sheet5_Multiple_Regression!$J$13*Sheet5_Multiple_Regression!G255</f>
        <v>659957.181111365</v>
      </c>
      <c r="G254" s="16" t="n">
        <f aca="false">E254-F254</f>
        <v>-17205.7611113653</v>
      </c>
    </row>
    <row r="255" customFormat="false" ht="15" hidden="false" customHeight="false" outlineLevel="0" collapsed="false">
      <c r="A255" s="6" t="str">
        <f aca="false">Sheet2_Cleaned_Data!A255</f>
        <v>STR-1063</v>
      </c>
      <c r="B255" s="6" t="str">
        <f aca="false">Sheet2_Cleaned_Data!B255</f>
        <v>2025-03-01</v>
      </c>
      <c r="C255" s="6" t="str">
        <f aca="false">Sheet2_Cleaned_Data!C255</f>
        <v>North</v>
      </c>
      <c r="D255" s="6" t="str">
        <f aca="false">Sheet2_Cleaned_Data!D255</f>
        <v>High Street</v>
      </c>
      <c r="E255" s="15" t="n">
        <f aca="false">Sheet2_Cleaned_Data!M255</f>
        <v>647953.78</v>
      </c>
      <c r="F255" s="16" t="n">
        <f aca="false">Sheet5_Multiple_Regression!$J$6+Sheet5_Multiple_Regression!$J$7*Sheet5_Multiple_Regression!A256+Sheet5_Multiple_Regression!$J$8*Sheet5_Multiple_Regression!B256+Sheet5_Multiple_Regression!$J$9*Sheet5_Multiple_Regression!C256+Sheet5_Multiple_Regression!$J$10*Sheet5_Multiple_Regression!D256+Sheet5_Multiple_Regression!$J$11*Sheet5_Multiple_Regression!E256+Sheet5_Multiple_Regression!$J$12*Sheet5_Multiple_Regression!F256+Sheet5_Multiple_Regression!$J$13*Sheet5_Multiple_Regression!G256</f>
        <v>643670.893662466</v>
      </c>
      <c r="G255" s="16" t="n">
        <f aca="false">E255-F255</f>
        <v>4282.88633753418</v>
      </c>
    </row>
    <row r="256" customFormat="false" ht="15" hidden="false" customHeight="false" outlineLevel="0" collapsed="false">
      <c r="A256" s="6" t="str">
        <f aca="false">Sheet2_Cleaned_Data!A256</f>
        <v>STR-1063</v>
      </c>
      <c r="B256" s="6" t="str">
        <f aca="false">Sheet2_Cleaned_Data!B256</f>
        <v>2025-04-01</v>
      </c>
      <c r="C256" s="6" t="str">
        <f aca="false">Sheet2_Cleaned_Data!C256</f>
        <v>North</v>
      </c>
      <c r="D256" s="6" t="str">
        <f aca="false">Sheet2_Cleaned_Data!D256</f>
        <v>High Street</v>
      </c>
      <c r="E256" s="15" t="n">
        <f aca="false">Sheet2_Cleaned_Data!M256</f>
        <v>729440.45</v>
      </c>
      <c r="F256" s="16" t="n">
        <f aca="false">Sheet5_Multiple_Regression!$J$6+Sheet5_Multiple_Regression!$J$7*Sheet5_Multiple_Regression!A257+Sheet5_Multiple_Regression!$J$8*Sheet5_Multiple_Regression!B257+Sheet5_Multiple_Regression!$J$9*Sheet5_Multiple_Regression!C257+Sheet5_Multiple_Regression!$J$10*Sheet5_Multiple_Regression!D257+Sheet5_Multiple_Regression!$J$11*Sheet5_Multiple_Regression!E257+Sheet5_Multiple_Regression!$J$12*Sheet5_Multiple_Regression!F257+Sheet5_Multiple_Regression!$J$13*Sheet5_Multiple_Regression!G257</f>
        <v>713360.113523514</v>
      </c>
      <c r="G256" s="16" t="n">
        <f aca="false">E256-F256</f>
        <v>16080.3364764857</v>
      </c>
    </row>
    <row r="257" customFormat="false" ht="15" hidden="false" customHeight="false" outlineLevel="0" collapsed="false">
      <c r="A257" s="6" t="str">
        <f aca="false">Sheet2_Cleaned_Data!A257</f>
        <v>STR-1064</v>
      </c>
      <c r="B257" s="6" t="str">
        <f aca="false">Sheet2_Cleaned_Data!B257</f>
        <v>2025-01-01</v>
      </c>
      <c r="C257" s="6" t="str">
        <f aca="false">Sheet2_Cleaned_Data!C257</f>
        <v>South</v>
      </c>
      <c r="D257" s="6" t="str">
        <f aca="false">Sheet2_Cleaned_Data!D257</f>
        <v>Airport</v>
      </c>
      <c r="E257" s="15" t="n">
        <f aca="false">Sheet2_Cleaned_Data!M257</f>
        <v>764949</v>
      </c>
      <c r="F257" s="16" t="n">
        <f aca="false">Sheet5_Multiple_Regression!$J$6+Sheet5_Multiple_Regression!$J$7*Sheet5_Multiple_Regression!A258+Sheet5_Multiple_Regression!$J$8*Sheet5_Multiple_Regression!B258+Sheet5_Multiple_Regression!$J$9*Sheet5_Multiple_Regression!C258+Sheet5_Multiple_Regression!$J$10*Sheet5_Multiple_Regression!D258+Sheet5_Multiple_Regression!$J$11*Sheet5_Multiple_Regression!E258+Sheet5_Multiple_Regression!$J$12*Sheet5_Multiple_Regression!F258+Sheet5_Multiple_Regression!$J$13*Sheet5_Multiple_Regression!G258</f>
        <v>776643.110511006</v>
      </c>
      <c r="G257" s="16" t="n">
        <f aca="false">E257-F257</f>
        <v>-11694.1105110056</v>
      </c>
    </row>
    <row r="258" customFormat="false" ht="15" hidden="false" customHeight="false" outlineLevel="0" collapsed="false">
      <c r="A258" s="6" t="str">
        <f aca="false">Sheet2_Cleaned_Data!A258</f>
        <v>STR-1064</v>
      </c>
      <c r="B258" s="6" t="str">
        <f aca="false">Sheet2_Cleaned_Data!B258</f>
        <v>2025-02-01</v>
      </c>
      <c r="C258" s="6" t="str">
        <f aca="false">Sheet2_Cleaned_Data!C258</f>
        <v>South</v>
      </c>
      <c r="D258" s="6" t="str">
        <f aca="false">Sheet2_Cleaned_Data!D258</f>
        <v>Airport</v>
      </c>
      <c r="E258" s="15" t="n">
        <f aca="false">Sheet2_Cleaned_Data!M258</f>
        <v>799046.94</v>
      </c>
      <c r="F258" s="16" t="n">
        <f aca="false">Sheet5_Multiple_Regression!$J$6+Sheet5_Multiple_Regression!$J$7*Sheet5_Multiple_Regression!A259+Sheet5_Multiple_Regression!$J$8*Sheet5_Multiple_Regression!B259+Sheet5_Multiple_Regression!$J$9*Sheet5_Multiple_Regression!C259+Sheet5_Multiple_Regression!$J$10*Sheet5_Multiple_Regression!D259+Sheet5_Multiple_Regression!$J$11*Sheet5_Multiple_Regression!E259+Sheet5_Multiple_Regression!$J$12*Sheet5_Multiple_Regression!F259+Sheet5_Multiple_Regression!$J$13*Sheet5_Multiple_Regression!G259</f>
        <v>727973.897941293</v>
      </c>
      <c r="G258" s="16" t="n">
        <f aca="false">E258-F258</f>
        <v>71073.0420587068</v>
      </c>
    </row>
    <row r="259" customFormat="false" ht="15" hidden="false" customHeight="false" outlineLevel="0" collapsed="false">
      <c r="A259" s="6" t="str">
        <f aca="false">Sheet2_Cleaned_Data!A259</f>
        <v>STR-1064</v>
      </c>
      <c r="B259" s="6" t="str">
        <f aca="false">Sheet2_Cleaned_Data!B259</f>
        <v>2025-03-01</v>
      </c>
      <c r="C259" s="6" t="str">
        <f aca="false">Sheet2_Cleaned_Data!C259</f>
        <v>South</v>
      </c>
      <c r="D259" s="6" t="str">
        <f aca="false">Sheet2_Cleaned_Data!D259</f>
        <v>Airport</v>
      </c>
      <c r="E259" s="15" t="n">
        <f aca="false">Sheet2_Cleaned_Data!M259</f>
        <v>720079.54</v>
      </c>
      <c r="F259" s="16" t="n">
        <f aca="false">Sheet5_Multiple_Regression!$J$6+Sheet5_Multiple_Regression!$J$7*Sheet5_Multiple_Regression!A260+Sheet5_Multiple_Regression!$J$8*Sheet5_Multiple_Regression!B260+Sheet5_Multiple_Regression!$J$9*Sheet5_Multiple_Regression!C260+Sheet5_Multiple_Regression!$J$10*Sheet5_Multiple_Regression!D260+Sheet5_Multiple_Regression!$J$11*Sheet5_Multiple_Regression!E260+Sheet5_Multiple_Regression!$J$12*Sheet5_Multiple_Regression!F260+Sheet5_Multiple_Regression!$J$13*Sheet5_Multiple_Regression!G260</f>
        <v>696942.060540747</v>
      </c>
      <c r="G259" s="16" t="n">
        <f aca="false">E259-F259</f>
        <v>23137.4794592529</v>
      </c>
    </row>
    <row r="260" customFormat="false" ht="15" hidden="false" customHeight="false" outlineLevel="0" collapsed="false">
      <c r="A260" s="6" t="str">
        <f aca="false">Sheet2_Cleaned_Data!A260</f>
        <v>STR-1064</v>
      </c>
      <c r="B260" s="6" t="str">
        <f aca="false">Sheet2_Cleaned_Data!B260</f>
        <v>2025-04-01</v>
      </c>
      <c r="C260" s="6" t="str">
        <f aca="false">Sheet2_Cleaned_Data!C260</f>
        <v>South</v>
      </c>
      <c r="D260" s="6" t="str">
        <f aca="false">Sheet2_Cleaned_Data!D260</f>
        <v>Airport</v>
      </c>
      <c r="E260" s="15" t="n">
        <f aca="false">Sheet2_Cleaned_Data!M260</f>
        <v>612390.14</v>
      </c>
      <c r="F260" s="16" t="n">
        <f aca="false">Sheet5_Multiple_Regression!$J$6+Sheet5_Multiple_Regression!$J$7*Sheet5_Multiple_Regression!A261+Sheet5_Multiple_Regression!$J$8*Sheet5_Multiple_Regression!B261+Sheet5_Multiple_Regression!$J$9*Sheet5_Multiple_Regression!C261+Sheet5_Multiple_Regression!$J$10*Sheet5_Multiple_Regression!D261+Sheet5_Multiple_Regression!$J$11*Sheet5_Multiple_Regression!E261+Sheet5_Multiple_Regression!$J$12*Sheet5_Multiple_Regression!F261+Sheet5_Multiple_Regression!$J$13*Sheet5_Multiple_Regression!G261</f>
        <v>660936.68573316</v>
      </c>
      <c r="G260" s="16" t="n">
        <f aca="false">E260-F260</f>
        <v>-48546.54573316</v>
      </c>
    </row>
    <row r="261" customFormat="false" ht="15" hidden="false" customHeight="false" outlineLevel="0" collapsed="false">
      <c r="A261" s="6" t="str">
        <f aca="false">Sheet2_Cleaned_Data!A261</f>
        <v>STR-1065</v>
      </c>
      <c r="B261" s="6" t="str">
        <f aca="false">Sheet2_Cleaned_Data!B261</f>
        <v>2025-01-01</v>
      </c>
      <c r="C261" s="6" t="str">
        <f aca="false">Sheet2_Cleaned_Data!C261</f>
        <v>South</v>
      </c>
      <c r="D261" s="6" t="str">
        <f aca="false">Sheet2_Cleaned_Data!D261</f>
        <v>Mall</v>
      </c>
      <c r="E261" s="15" t="n">
        <f aca="false">Sheet2_Cleaned_Data!M261</f>
        <v>840108.12</v>
      </c>
      <c r="F261" s="16" t="n">
        <f aca="false">Sheet5_Multiple_Regression!$J$6+Sheet5_Multiple_Regression!$J$7*Sheet5_Multiple_Regression!A262+Sheet5_Multiple_Regression!$J$8*Sheet5_Multiple_Regression!B262+Sheet5_Multiple_Regression!$J$9*Sheet5_Multiple_Regression!C262+Sheet5_Multiple_Regression!$J$10*Sheet5_Multiple_Regression!D262+Sheet5_Multiple_Regression!$J$11*Sheet5_Multiple_Regression!E262+Sheet5_Multiple_Regression!$J$12*Sheet5_Multiple_Regression!F262+Sheet5_Multiple_Regression!$J$13*Sheet5_Multiple_Regression!G262</f>
        <v>759791.729953847</v>
      </c>
      <c r="G261" s="16" t="n">
        <f aca="false">E261-F261</f>
        <v>80316.3900461535</v>
      </c>
    </row>
    <row r="262" customFormat="false" ht="15" hidden="false" customHeight="false" outlineLevel="0" collapsed="false">
      <c r="A262" s="6" t="str">
        <f aca="false">Sheet2_Cleaned_Data!A262</f>
        <v>STR-1065</v>
      </c>
      <c r="B262" s="6" t="str">
        <f aca="false">Sheet2_Cleaned_Data!B262</f>
        <v>2025-02-01</v>
      </c>
      <c r="C262" s="6" t="str">
        <f aca="false">Sheet2_Cleaned_Data!C262</f>
        <v>South</v>
      </c>
      <c r="D262" s="6" t="str">
        <f aca="false">Sheet2_Cleaned_Data!D262</f>
        <v>Mall</v>
      </c>
      <c r="E262" s="15" t="n">
        <f aca="false">Sheet2_Cleaned_Data!M262</f>
        <v>697888.09</v>
      </c>
      <c r="F262" s="16" t="n">
        <f aca="false">Sheet5_Multiple_Regression!$J$6+Sheet5_Multiple_Regression!$J$7*Sheet5_Multiple_Regression!A263+Sheet5_Multiple_Regression!$J$8*Sheet5_Multiple_Regression!B263+Sheet5_Multiple_Regression!$J$9*Sheet5_Multiple_Regression!C263+Sheet5_Multiple_Regression!$J$10*Sheet5_Multiple_Regression!D263+Sheet5_Multiple_Regression!$J$11*Sheet5_Multiple_Regression!E263+Sheet5_Multiple_Regression!$J$12*Sheet5_Multiple_Regression!F263+Sheet5_Multiple_Regression!$J$13*Sheet5_Multiple_Regression!G263</f>
        <v>678218.410444277</v>
      </c>
      <c r="G262" s="16" t="n">
        <f aca="false">E262-F262</f>
        <v>19669.679555723</v>
      </c>
    </row>
    <row r="263" customFormat="false" ht="15" hidden="false" customHeight="false" outlineLevel="0" collapsed="false">
      <c r="A263" s="6" t="str">
        <f aca="false">Sheet2_Cleaned_Data!A263</f>
        <v>STR-1065</v>
      </c>
      <c r="B263" s="6" t="str">
        <f aca="false">Sheet2_Cleaned_Data!B263</f>
        <v>2025-03-01</v>
      </c>
      <c r="C263" s="6" t="str">
        <f aca="false">Sheet2_Cleaned_Data!C263</f>
        <v>South</v>
      </c>
      <c r="D263" s="6" t="str">
        <f aca="false">Sheet2_Cleaned_Data!D263</f>
        <v>Mall</v>
      </c>
      <c r="E263" s="15" t="n">
        <f aca="false">Sheet2_Cleaned_Data!M263</f>
        <v>746115.59</v>
      </c>
      <c r="F263" s="16" t="n">
        <f aca="false">Sheet5_Multiple_Regression!$J$6+Sheet5_Multiple_Regression!$J$7*Sheet5_Multiple_Regression!A264+Sheet5_Multiple_Regression!$J$8*Sheet5_Multiple_Regression!B264+Sheet5_Multiple_Regression!$J$9*Sheet5_Multiple_Regression!C264+Sheet5_Multiple_Regression!$J$10*Sheet5_Multiple_Regression!D264+Sheet5_Multiple_Regression!$J$11*Sheet5_Multiple_Regression!E264+Sheet5_Multiple_Regression!$J$12*Sheet5_Multiple_Regression!F264+Sheet5_Multiple_Regression!$J$13*Sheet5_Multiple_Regression!G264</f>
        <v>744686.895676206</v>
      </c>
      <c r="G263" s="16" t="n">
        <f aca="false">E263-F263</f>
        <v>1428.69432379399</v>
      </c>
    </row>
    <row r="264" customFormat="false" ht="15" hidden="false" customHeight="false" outlineLevel="0" collapsed="false">
      <c r="A264" s="6" t="str">
        <f aca="false">Sheet2_Cleaned_Data!A264</f>
        <v>STR-1065</v>
      </c>
      <c r="B264" s="6" t="str">
        <f aca="false">Sheet2_Cleaned_Data!B264</f>
        <v>2025-04-01</v>
      </c>
      <c r="C264" s="6" t="str">
        <f aca="false">Sheet2_Cleaned_Data!C264</f>
        <v>South</v>
      </c>
      <c r="D264" s="6" t="str">
        <f aca="false">Sheet2_Cleaned_Data!D264</f>
        <v>Mall</v>
      </c>
      <c r="E264" s="15" t="n">
        <f aca="false">Sheet2_Cleaned_Data!M264</f>
        <v>776110.32</v>
      </c>
      <c r="F264" s="16" t="n">
        <f aca="false">Sheet5_Multiple_Regression!$J$6+Sheet5_Multiple_Regression!$J$7*Sheet5_Multiple_Regression!A265+Sheet5_Multiple_Regression!$J$8*Sheet5_Multiple_Regression!B265+Sheet5_Multiple_Regression!$J$9*Sheet5_Multiple_Regression!C265+Sheet5_Multiple_Regression!$J$10*Sheet5_Multiple_Regression!D265+Sheet5_Multiple_Regression!$J$11*Sheet5_Multiple_Regression!E265+Sheet5_Multiple_Regression!$J$12*Sheet5_Multiple_Regression!F265+Sheet5_Multiple_Regression!$J$13*Sheet5_Multiple_Regression!G265</f>
        <v>733191.574413276</v>
      </c>
      <c r="G264" s="16" t="n">
        <f aca="false">E264-F264</f>
        <v>42918.7455867237</v>
      </c>
    </row>
    <row r="265" customFormat="false" ht="15" hidden="false" customHeight="false" outlineLevel="0" collapsed="false">
      <c r="A265" s="6" t="str">
        <f aca="false">Sheet2_Cleaned_Data!A265</f>
        <v>STR-1066</v>
      </c>
      <c r="B265" s="6" t="str">
        <f aca="false">Sheet2_Cleaned_Data!B265</f>
        <v>2025-01-01</v>
      </c>
      <c r="C265" s="6" t="str">
        <f aca="false">Sheet2_Cleaned_Data!C265</f>
        <v>West</v>
      </c>
      <c r="D265" s="6" t="str">
        <f aca="false">Sheet2_Cleaned_Data!D265</f>
        <v>High Street</v>
      </c>
      <c r="E265" s="15" t="n">
        <f aca="false">Sheet2_Cleaned_Data!M265</f>
        <v>528852.62</v>
      </c>
      <c r="F265" s="16" t="n">
        <f aca="false">Sheet5_Multiple_Regression!$J$6+Sheet5_Multiple_Regression!$J$7*Sheet5_Multiple_Regression!A266+Sheet5_Multiple_Regression!$J$8*Sheet5_Multiple_Regression!B266+Sheet5_Multiple_Regression!$J$9*Sheet5_Multiple_Regression!C266+Sheet5_Multiple_Regression!$J$10*Sheet5_Multiple_Regression!D266+Sheet5_Multiple_Regression!$J$11*Sheet5_Multiple_Regression!E266+Sheet5_Multiple_Regression!$J$12*Sheet5_Multiple_Regression!F266+Sheet5_Multiple_Regression!$J$13*Sheet5_Multiple_Regression!G266</f>
        <v>519464.975301094</v>
      </c>
      <c r="G265" s="16" t="n">
        <f aca="false">E265-F265</f>
        <v>9387.64469890622</v>
      </c>
    </row>
    <row r="266" customFormat="false" ht="15" hidden="false" customHeight="false" outlineLevel="0" collapsed="false">
      <c r="A266" s="6" t="str">
        <f aca="false">Sheet2_Cleaned_Data!A266</f>
        <v>STR-1066</v>
      </c>
      <c r="B266" s="6" t="str">
        <f aca="false">Sheet2_Cleaned_Data!B266</f>
        <v>2025-02-01</v>
      </c>
      <c r="C266" s="6" t="str">
        <f aca="false">Sheet2_Cleaned_Data!C266</f>
        <v>West</v>
      </c>
      <c r="D266" s="6" t="str">
        <f aca="false">Sheet2_Cleaned_Data!D266</f>
        <v>High Street</v>
      </c>
      <c r="E266" s="15" t="n">
        <f aca="false">Sheet2_Cleaned_Data!M266</f>
        <v>605751.33</v>
      </c>
      <c r="F266" s="16" t="n">
        <f aca="false">Sheet5_Multiple_Regression!$J$6+Sheet5_Multiple_Regression!$J$7*Sheet5_Multiple_Regression!A267+Sheet5_Multiple_Regression!$J$8*Sheet5_Multiple_Regression!B267+Sheet5_Multiple_Regression!$J$9*Sheet5_Multiple_Regression!C267+Sheet5_Multiple_Regression!$J$10*Sheet5_Multiple_Regression!D267+Sheet5_Multiple_Regression!$J$11*Sheet5_Multiple_Regression!E267+Sheet5_Multiple_Regression!$J$12*Sheet5_Multiple_Regression!F267+Sheet5_Multiple_Regression!$J$13*Sheet5_Multiple_Regression!G267</f>
        <v>600429.355916215</v>
      </c>
      <c r="G266" s="16" t="n">
        <f aca="false">E266-F266</f>
        <v>5321.97408378462</v>
      </c>
    </row>
    <row r="267" customFormat="false" ht="15" hidden="false" customHeight="false" outlineLevel="0" collapsed="false">
      <c r="A267" s="6" t="str">
        <f aca="false">Sheet2_Cleaned_Data!A267</f>
        <v>STR-1066</v>
      </c>
      <c r="B267" s="6" t="str">
        <f aca="false">Sheet2_Cleaned_Data!B267</f>
        <v>2025-03-01</v>
      </c>
      <c r="C267" s="6" t="str">
        <f aca="false">Sheet2_Cleaned_Data!C267</f>
        <v>West</v>
      </c>
      <c r="D267" s="6" t="str">
        <f aca="false">Sheet2_Cleaned_Data!D267</f>
        <v>High Street</v>
      </c>
      <c r="E267" s="15" t="n">
        <f aca="false">Sheet2_Cleaned_Data!M267</f>
        <v>677640.65</v>
      </c>
      <c r="F267" s="16" t="n">
        <f aca="false">Sheet5_Multiple_Regression!$J$6+Sheet5_Multiple_Regression!$J$7*Sheet5_Multiple_Regression!A268+Sheet5_Multiple_Regression!$J$8*Sheet5_Multiple_Regression!B268+Sheet5_Multiple_Regression!$J$9*Sheet5_Multiple_Regression!C268+Sheet5_Multiple_Regression!$J$10*Sheet5_Multiple_Regression!D268+Sheet5_Multiple_Regression!$J$11*Sheet5_Multiple_Regression!E268+Sheet5_Multiple_Regression!$J$12*Sheet5_Multiple_Regression!F268+Sheet5_Multiple_Regression!$J$13*Sheet5_Multiple_Regression!G268</f>
        <v>608034.703803941</v>
      </c>
      <c r="G267" s="16" t="n">
        <f aca="false">E267-F267</f>
        <v>69605.9461960588</v>
      </c>
    </row>
    <row r="268" customFormat="false" ht="15" hidden="false" customHeight="false" outlineLevel="0" collapsed="false">
      <c r="A268" s="6" t="str">
        <f aca="false">Sheet2_Cleaned_Data!A268</f>
        <v>STR-1066</v>
      </c>
      <c r="B268" s="6" t="str">
        <f aca="false">Sheet2_Cleaned_Data!B268</f>
        <v>2025-04-01</v>
      </c>
      <c r="C268" s="6" t="str">
        <f aca="false">Sheet2_Cleaned_Data!C268</f>
        <v>West</v>
      </c>
      <c r="D268" s="6" t="str">
        <f aca="false">Sheet2_Cleaned_Data!D268</f>
        <v>High Street</v>
      </c>
      <c r="E268" s="15" t="n">
        <f aca="false">Sheet2_Cleaned_Data!M268</f>
        <v>636613.23</v>
      </c>
      <c r="F268" s="16" t="n">
        <f aca="false">Sheet5_Multiple_Regression!$J$6+Sheet5_Multiple_Regression!$J$7*Sheet5_Multiple_Regression!A269+Sheet5_Multiple_Regression!$J$8*Sheet5_Multiple_Regression!B269+Sheet5_Multiple_Regression!$J$9*Sheet5_Multiple_Regression!C269+Sheet5_Multiple_Regression!$J$10*Sheet5_Multiple_Regression!D269+Sheet5_Multiple_Regression!$J$11*Sheet5_Multiple_Regression!E269+Sheet5_Multiple_Regression!$J$12*Sheet5_Multiple_Regression!F269+Sheet5_Multiple_Regression!$J$13*Sheet5_Multiple_Regression!G269</f>
        <v>609438.978201511</v>
      </c>
      <c r="G268" s="16" t="n">
        <f aca="false">E268-F268</f>
        <v>27174.2517984887</v>
      </c>
    </row>
    <row r="269" customFormat="false" ht="15" hidden="false" customHeight="false" outlineLevel="0" collapsed="false">
      <c r="A269" s="6" t="str">
        <f aca="false">Sheet2_Cleaned_Data!A269</f>
        <v>STR-1067</v>
      </c>
      <c r="B269" s="6" t="str">
        <f aca="false">Sheet2_Cleaned_Data!B269</f>
        <v>2025-01-01</v>
      </c>
      <c r="C269" s="6" t="str">
        <f aca="false">Sheet2_Cleaned_Data!C269</f>
        <v>East</v>
      </c>
      <c r="D269" s="6" t="str">
        <f aca="false">Sheet2_Cleaned_Data!D269</f>
        <v>High Street</v>
      </c>
      <c r="E269" s="15" t="n">
        <f aca="false">Sheet2_Cleaned_Data!M269</f>
        <v>708985.19</v>
      </c>
      <c r="F269" s="16" t="n">
        <f aca="false">Sheet5_Multiple_Regression!$J$6+Sheet5_Multiple_Regression!$J$7*Sheet5_Multiple_Regression!A270+Sheet5_Multiple_Regression!$J$8*Sheet5_Multiple_Regression!B270+Sheet5_Multiple_Regression!$J$9*Sheet5_Multiple_Regression!C270+Sheet5_Multiple_Regression!$J$10*Sheet5_Multiple_Regression!D270+Sheet5_Multiple_Regression!$J$11*Sheet5_Multiple_Regression!E270+Sheet5_Multiple_Regression!$J$12*Sheet5_Multiple_Regression!F270+Sheet5_Multiple_Regression!$J$13*Sheet5_Multiple_Regression!G270</f>
        <v>734190.741127478</v>
      </c>
      <c r="G269" s="16" t="n">
        <f aca="false">E269-F269</f>
        <v>-25205.551127478</v>
      </c>
    </row>
    <row r="270" customFormat="false" ht="15" hidden="false" customHeight="false" outlineLevel="0" collapsed="false">
      <c r="A270" s="6" t="str">
        <f aca="false">Sheet2_Cleaned_Data!A270</f>
        <v>STR-1067</v>
      </c>
      <c r="B270" s="6" t="str">
        <f aca="false">Sheet2_Cleaned_Data!B270</f>
        <v>2025-02-01</v>
      </c>
      <c r="C270" s="6" t="str">
        <f aca="false">Sheet2_Cleaned_Data!C270</f>
        <v>East</v>
      </c>
      <c r="D270" s="6" t="str">
        <f aca="false">Sheet2_Cleaned_Data!D270</f>
        <v>High Street</v>
      </c>
      <c r="E270" s="15" t="n">
        <f aca="false">Sheet2_Cleaned_Data!M270</f>
        <v>767792.94</v>
      </c>
      <c r="F270" s="16" t="n">
        <f aca="false">Sheet5_Multiple_Regression!$J$6+Sheet5_Multiple_Regression!$J$7*Sheet5_Multiple_Regression!A271+Sheet5_Multiple_Regression!$J$8*Sheet5_Multiple_Regression!B271+Sheet5_Multiple_Regression!$J$9*Sheet5_Multiple_Regression!C271+Sheet5_Multiple_Regression!$J$10*Sheet5_Multiple_Regression!D271+Sheet5_Multiple_Regression!$J$11*Sheet5_Multiple_Regression!E271+Sheet5_Multiple_Regression!$J$12*Sheet5_Multiple_Regression!F271+Sheet5_Multiple_Regression!$J$13*Sheet5_Multiple_Regression!G271</f>
        <v>739451.926268656</v>
      </c>
      <c r="G270" s="16" t="n">
        <f aca="false">E270-F270</f>
        <v>28341.0137313445</v>
      </c>
    </row>
    <row r="271" customFormat="false" ht="15" hidden="false" customHeight="false" outlineLevel="0" collapsed="false">
      <c r="A271" s="6" t="str">
        <f aca="false">Sheet2_Cleaned_Data!A271</f>
        <v>STR-1067</v>
      </c>
      <c r="B271" s="6" t="str">
        <f aca="false">Sheet2_Cleaned_Data!B271</f>
        <v>2025-03-01</v>
      </c>
      <c r="C271" s="6" t="str">
        <f aca="false">Sheet2_Cleaned_Data!C271</f>
        <v>East</v>
      </c>
      <c r="D271" s="6" t="str">
        <f aca="false">Sheet2_Cleaned_Data!D271</f>
        <v>High Street</v>
      </c>
      <c r="E271" s="15" t="n">
        <f aca="false">Sheet2_Cleaned_Data!M271</f>
        <v>745580.51</v>
      </c>
      <c r="F271" s="16" t="n">
        <f aca="false">Sheet5_Multiple_Regression!$J$6+Sheet5_Multiple_Regression!$J$7*Sheet5_Multiple_Regression!A272+Sheet5_Multiple_Regression!$J$8*Sheet5_Multiple_Regression!B272+Sheet5_Multiple_Regression!$J$9*Sheet5_Multiple_Regression!C272+Sheet5_Multiple_Regression!$J$10*Sheet5_Multiple_Regression!D272+Sheet5_Multiple_Regression!$J$11*Sheet5_Multiple_Regression!E272+Sheet5_Multiple_Regression!$J$12*Sheet5_Multiple_Regression!F272+Sheet5_Multiple_Regression!$J$13*Sheet5_Multiple_Regression!G272</f>
        <v>726144.019477826</v>
      </c>
      <c r="G271" s="16" t="n">
        <f aca="false">E271-F271</f>
        <v>19436.4905221744</v>
      </c>
    </row>
    <row r="272" customFormat="false" ht="15" hidden="false" customHeight="false" outlineLevel="0" collapsed="false">
      <c r="A272" s="6" t="str">
        <f aca="false">Sheet2_Cleaned_Data!A272</f>
        <v>STR-1067</v>
      </c>
      <c r="B272" s="6" t="str">
        <f aca="false">Sheet2_Cleaned_Data!B272</f>
        <v>2025-04-01</v>
      </c>
      <c r="C272" s="6" t="str">
        <f aca="false">Sheet2_Cleaned_Data!C272</f>
        <v>East</v>
      </c>
      <c r="D272" s="6" t="str">
        <f aca="false">Sheet2_Cleaned_Data!D272</f>
        <v>High Street</v>
      </c>
      <c r="E272" s="15" t="n">
        <f aca="false">Sheet2_Cleaned_Data!M272</f>
        <v>762328.31</v>
      </c>
      <c r="F272" s="16" t="n">
        <f aca="false">Sheet5_Multiple_Regression!$J$6+Sheet5_Multiple_Regression!$J$7*Sheet5_Multiple_Regression!A273+Sheet5_Multiple_Regression!$J$8*Sheet5_Multiple_Regression!B273+Sheet5_Multiple_Regression!$J$9*Sheet5_Multiple_Regression!C273+Sheet5_Multiple_Regression!$J$10*Sheet5_Multiple_Regression!D273+Sheet5_Multiple_Regression!$J$11*Sheet5_Multiple_Regression!E273+Sheet5_Multiple_Regression!$J$12*Sheet5_Multiple_Regression!F273+Sheet5_Multiple_Regression!$J$13*Sheet5_Multiple_Regression!G273</f>
        <v>736852.929573992</v>
      </c>
      <c r="G272" s="16" t="n">
        <f aca="false">E272-F272</f>
        <v>25475.3804260085</v>
      </c>
    </row>
    <row r="273" customFormat="false" ht="15" hidden="false" customHeight="false" outlineLevel="0" collapsed="false">
      <c r="A273" s="6" t="str">
        <f aca="false">Sheet2_Cleaned_Data!A273</f>
        <v>STR-1068</v>
      </c>
      <c r="B273" s="6" t="str">
        <f aca="false">Sheet2_Cleaned_Data!B273</f>
        <v>2025-01-01</v>
      </c>
      <c r="C273" s="6" t="str">
        <f aca="false">Sheet2_Cleaned_Data!C273</f>
        <v>East</v>
      </c>
      <c r="D273" s="6" t="str">
        <f aca="false">Sheet2_Cleaned_Data!D273</f>
        <v>Mall</v>
      </c>
      <c r="E273" s="15" t="n">
        <f aca="false">Sheet2_Cleaned_Data!M273</f>
        <v>660633.99</v>
      </c>
      <c r="F273" s="16" t="n">
        <f aca="false">Sheet5_Multiple_Regression!$J$6+Sheet5_Multiple_Regression!$J$7*Sheet5_Multiple_Regression!A274+Sheet5_Multiple_Regression!$J$8*Sheet5_Multiple_Regression!B274+Sheet5_Multiple_Regression!$J$9*Sheet5_Multiple_Regression!C274+Sheet5_Multiple_Regression!$J$10*Sheet5_Multiple_Regression!D274+Sheet5_Multiple_Regression!$J$11*Sheet5_Multiple_Regression!E274+Sheet5_Multiple_Regression!$J$12*Sheet5_Multiple_Regression!F274+Sheet5_Multiple_Regression!$J$13*Sheet5_Multiple_Regression!G274</f>
        <v>754801.950298413</v>
      </c>
      <c r="G273" s="16" t="n">
        <f aca="false">E273-F273</f>
        <v>-94167.9602984133</v>
      </c>
    </row>
    <row r="274" customFormat="false" ht="15" hidden="false" customHeight="false" outlineLevel="0" collapsed="false">
      <c r="A274" s="6" t="str">
        <f aca="false">Sheet2_Cleaned_Data!A274</f>
        <v>STR-1068</v>
      </c>
      <c r="B274" s="6" t="str">
        <f aca="false">Sheet2_Cleaned_Data!B274</f>
        <v>2025-02-01</v>
      </c>
      <c r="C274" s="6" t="str">
        <f aca="false">Sheet2_Cleaned_Data!C274</f>
        <v>East</v>
      </c>
      <c r="D274" s="6" t="str">
        <f aca="false">Sheet2_Cleaned_Data!D274</f>
        <v>Mall</v>
      </c>
      <c r="E274" s="15" t="n">
        <f aca="false">Sheet2_Cleaned_Data!M274</f>
        <v>739374.56</v>
      </c>
      <c r="F274" s="16" t="n">
        <f aca="false">Sheet5_Multiple_Regression!$J$6+Sheet5_Multiple_Regression!$J$7*Sheet5_Multiple_Regression!A275+Sheet5_Multiple_Regression!$J$8*Sheet5_Multiple_Regression!B275+Sheet5_Multiple_Regression!$J$9*Sheet5_Multiple_Regression!C275+Sheet5_Multiple_Regression!$J$10*Sheet5_Multiple_Regression!D275+Sheet5_Multiple_Regression!$J$11*Sheet5_Multiple_Regression!E275+Sheet5_Multiple_Regression!$J$12*Sheet5_Multiple_Regression!F275+Sheet5_Multiple_Regression!$J$13*Sheet5_Multiple_Regression!G275</f>
        <v>705057.463995067</v>
      </c>
      <c r="G274" s="16" t="n">
        <f aca="false">E274-F274</f>
        <v>34317.0960049331</v>
      </c>
    </row>
    <row r="275" customFormat="false" ht="15" hidden="false" customHeight="false" outlineLevel="0" collapsed="false">
      <c r="A275" s="6" t="str">
        <f aca="false">Sheet2_Cleaned_Data!A275</f>
        <v>STR-1068</v>
      </c>
      <c r="B275" s="6" t="str">
        <f aca="false">Sheet2_Cleaned_Data!B275</f>
        <v>2025-03-01</v>
      </c>
      <c r="C275" s="6" t="str">
        <f aca="false">Sheet2_Cleaned_Data!C275</f>
        <v>East</v>
      </c>
      <c r="D275" s="6" t="str">
        <f aca="false">Sheet2_Cleaned_Data!D275</f>
        <v>Mall</v>
      </c>
      <c r="E275" s="15" t="n">
        <f aca="false">Sheet2_Cleaned_Data!M275</f>
        <v>799756.46</v>
      </c>
      <c r="F275" s="16" t="n">
        <f aca="false">Sheet5_Multiple_Regression!$J$6+Sheet5_Multiple_Regression!$J$7*Sheet5_Multiple_Regression!A276+Sheet5_Multiple_Regression!$J$8*Sheet5_Multiple_Regression!B276+Sheet5_Multiple_Regression!$J$9*Sheet5_Multiple_Regression!C276+Sheet5_Multiple_Regression!$J$10*Sheet5_Multiple_Regression!D276+Sheet5_Multiple_Regression!$J$11*Sheet5_Multiple_Regression!E276+Sheet5_Multiple_Regression!$J$12*Sheet5_Multiple_Regression!F276+Sheet5_Multiple_Regression!$J$13*Sheet5_Multiple_Regression!G276</f>
        <v>814948.234412688</v>
      </c>
      <c r="G275" s="16" t="n">
        <f aca="false">E275-F275</f>
        <v>-15191.7744126878</v>
      </c>
    </row>
    <row r="276" customFormat="false" ht="15" hidden="false" customHeight="false" outlineLevel="0" collapsed="false">
      <c r="A276" s="6" t="str">
        <f aca="false">Sheet2_Cleaned_Data!A276</f>
        <v>STR-1068</v>
      </c>
      <c r="B276" s="6" t="str">
        <f aca="false">Sheet2_Cleaned_Data!B276</f>
        <v>2025-04-01</v>
      </c>
      <c r="C276" s="6" t="str">
        <f aca="false">Sheet2_Cleaned_Data!C276</f>
        <v>East</v>
      </c>
      <c r="D276" s="6" t="str">
        <f aca="false">Sheet2_Cleaned_Data!D276</f>
        <v>Mall</v>
      </c>
      <c r="E276" s="15" t="n">
        <f aca="false">Sheet2_Cleaned_Data!M276</f>
        <v>593343</v>
      </c>
      <c r="F276" s="16" t="n">
        <f aca="false">Sheet5_Multiple_Regression!$J$6+Sheet5_Multiple_Regression!$J$7*Sheet5_Multiple_Regression!A277+Sheet5_Multiple_Regression!$J$8*Sheet5_Multiple_Regression!B277+Sheet5_Multiple_Regression!$J$9*Sheet5_Multiple_Regression!C277+Sheet5_Multiple_Regression!$J$10*Sheet5_Multiple_Regression!D277+Sheet5_Multiple_Regression!$J$11*Sheet5_Multiple_Regression!E277+Sheet5_Multiple_Regression!$J$12*Sheet5_Multiple_Regression!F277+Sheet5_Multiple_Regression!$J$13*Sheet5_Multiple_Regression!G277</f>
        <v>685376.438980004</v>
      </c>
      <c r="G276" s="16" t="n">
        <f aca="false">E276-F276</f>
        <v>-92033.4389800037</v>
      </c>
    </row>
    <row r="277" customFormat="false" ht="15" hidden="false" customHeight="false" outlineLevel="0" collapsed="false">
      <c r="A277" s="6" t="str">
        <f aca="false">Sheet2_Cleaned_Data!A277</f>
        <v>STR-1069</v>
      </c>
      <c r="B277" s="6" t="str">
        <f aca="false">Sheet2_Cleaned_Data!B277</f>
        <v>2025-01-01</v>
      </c>
      <c r="C277" s="6" t="str">
        <f aca="false">Sheet2_Cleaned_Data!C277</f>
        <v>West</v>
      </c>
      <c r="D277" s="6" t="str">
        <f aca="false">Sheet2_Cleaned_Data!D277</f>
        <v>High Street</v>
      </c>
      <c r="E277" s="15" t="n">
        <f aca="false">Sheet2_Cleaned_Data!M277</f>
        <v>645039.97</v>
      </c>
      <c r="F277" s="16" t="n">
        <f aca="false">Sheet5_Multiple_Regression!$J$6+Sheet5_Multiple_Regression!$J$7*Sheet5_Multiple_Regression!A278+Sheet5_Multiple_Regression!$J$8*Sheet5_Multiple_Regression!B278+Sheet5_Multiple_Regression!$J$9*Sheet5_Multiple_Regression!C278+Sheet5_Multiple_Regression!$J$10*Sheet5_Multiple_Regression!D278+Sheet5_Multiple_Regression!$J$11*Sheet5_Multiple_Regression!E278+Sheet5_Multiple_Regression!$J$12*Sheet5_Multiple_Regression!F278+Sheet5_Multiple_Regression!$J$13*Sheet5_Multiple_Regression!G278</f>
        <v>641163.804401711</v>
      </c>
      <c r="G277" s="16" t="n">
        <f aca="false">E277-F277</f>
        <v>3876.16559828934</v>
      </c>
    </row>
    <row r="278" customFormat="false" ht="15" hidden="false" customHeight="false" outlineLevel="0" collapsed="false">
      <c r="A278" s="6" t="str">
        <f aca="false">Sheet2_Cleaned_Data!A278</f>
        <v>STR-1069</v>
      </c>
      <c r="B278" s="6" t="str">
        <f aca="false">Sheet2_Cleaned_Data!B278</f>
        <v>2025-02-01</v>
      </c>
      <c r="C278" s="6" t="str">
        <f aca="false">Sheet2_Cleaned_Data!C278</f>
        <v>West</v>
      </c>
      <c r="D278" s="6" t="str">
        <f aca="false">Sheet2_Cleaned_Data!D278</f>
        <v>High Street</v>
      </c>
      <c r="E278" s="15" t="n">
        <f aca="false">Sheet2_Cleaned_Data!M278</f>
        <v>561597.33</v>
      </c>
      <c r="F278" s="16" t="n">
        <f aca="false">Sheet5_Multiple_Regression!$J$6+Sheet5_Multiple_Regression!$J$7*Sheet5_Multiple_Regression!A279+Sheet5_Multiple_Regression!$J$8*Sheet5_Multiple_Regression!B279+Sheet5_Multiple_Regression!$J$9*Sheet5_Multiple_Regression!C279+Sheet5_Multiple_Regression!$J$10*Sheet5_Multiple_Regression!D279+Sheet5_Multiple_Regression!$J$11*Sheet5_Multiple_Regression!E279+Sheet5_Multiple_Regression!$J$12*Sheet5_Multiple_Regression!F279+Sheet5_Multiple_Regression!$J$13*Sheet5_Multiple_Regression!G279</f>
        <v>524740.967315259</v>
      </c>
      <c r="G278" s="16" t="n">
        <f aca="false">E278-F278</f>
        <v>36856.3626847413</v>
      </c>
    </row>
    <row r="279" customFormat="false" ht="15" hidden="false" customHeight="false" outlineLevel="0" collapsed="false">
      <c r="A279" s="6" t="str">
        <f aca="false">Sheet2_Cleaned_Data!A279</f>
        <v>STR-1069</v>
      </c>
      <c r="B279" s="6" t="str">
        <f aca="false">Sheet2_Cleaned_Data!B279</f>
        <v>2025-03-01</v>
      </c>
      <c r="C279" s="6" t="str">
        <f aca="false">Sheet2_Cleaned_Data!C279</f>
        <v>West</v>
      </c>
      <c r="D279" s="6" t="str">
        <f aca="false">Sheet2_Cleaned_Data!D279</f>
        <v>High Street</v>
      </c>
      <c r="E279" s="15" t="n">
        <f aca="false">Sheet2_Cleaned_Data!M279</f>
        <v>635837.74</v>
      </c>
      <c r="F279" s="16" t="n">
        <f aca="false">Sheet5_Multiple_Regression!$J$6+Sheet5_Multiple_Regression!$J$7*Sheet5_Multiple_Regression!A280+Sheet5_Multiple_Regression!$J$8*Sheet5_Multiple_Regression!B280+Sheet5_Multiple_Regression!$J$9*Sheet5_Multiple_Regression!C280+Sheet5_Multiple_Regression!$J$10*Sheet5_Multiple_Regression!D280+Sheet5_Multiple_Regression!$J$11*Sheet5_Multiple_Regression!E280+Sheet5_Multiple_Regression!$J$12*Sheet5_Multiple_Regression!F280+Sheet5_Multiple_Regression!$J$13*Sheet5_Multiple_Regression!G280</f>
        <v>647790.045877081</v>
      </c>
      <c r="G279" s="16" t="n">
        <f aca="false">E279-F279</f>
        <v>-11952.3058770811</v>
      </c>
    </row>
    <row r="280" customFormat="false" ht="15" hidden="false" customHeight="false" outlineLevel="0" collapsed="false">
      <c r="A280" s="6" t="str">
        <f aca="false">Sheet2_Cleaned_Data!A280</f>
        <v>STR-1069</v>
      </c>
      <c r="B280" s="6" t="str">
        <f aca="false">Sheet2_Cleaned_Data!B280</f>
        <v>2025-04-01</v>
      </c>
      <c r="C280" s="6" t="str">
        <f aca="false">Sheet2_Cleaned_Data!C280</f>
        <v>West</v>
      </c>
      <c r="D280" s="6" t="str">
        <f aca="false">Sheet2_Cleaned_Data!D280</f>
        <v>High Street</v>
      </c>
      <c r="E280" s="15" t="n">
        <f aca="false">Sheet2_Cleaned_Data!M280</f>
        <v>686737.87</v>
      </c>
      <c r="F280" s="16" t="n">
        <f aca="false">Sheet5_Multiple_Regression!$J$6+Sheet5_Multiple_Regression!$J$7*Sheet5_Multiple_Regression!A281+Sheet5_Multiple_Regression!$J$8*Sheet5_Multiple_Regression!B281+Sheet5_Multiple_Regression!$J$9*Sheet5_Multiple_Regression!C281+Sheet5_Multiple_Regression!$J$10*Sheet5_Multiple_Regression!D281+Sheet5_Multiple_Regression!$J$11*Sheet5_Multiple_Regression!E281+Sheet5_Multiple_Regression!$J$12*Sheet5_Multiple_Regression!F281+Sheet5_Multiple_Regression!$J$13*Sheet5_Multiple_Regression!G281</f>
        <v>598272.891816862</v>
      </c>
      <c r="G280" s="16" t="n">
        <f aca="false">E280-F280</f>
        <v>88464.9781831384</v>
      </c>
    </row>
    <row r="281" customFormat="false" ht="15" hidden="false" customHeight="false" outlineLevel="0" collapsed="false">
      <c r="A281" s="6" t="str">
        <f aca="false">Sheet2_Cleaned_Data!A281</f>
        <v>STR-1070</v>
      </c>
      <c r="B281" s="6" t="str">
        <f aca="false">Sheet2_Cleaned_Data!B281</f>
        <v>2025-01-01</v>
      </c>
      <c r="C281" s="6" t="str">
        <f aca="false">Sheet2_Cleaned_Data!C281</f>
        <v>South</v>
      </c>
      <c r="D281" s="6" t="str">
        <f aca="false">Sheet2_Cleaned_Data!D281</f>
        <v>Residential</v>
      </c>
      <c r="E281" s="15" t="n">
        <f aca="false">Sheet2_Cleaned_Data!M281</f>
        <v>673076.34</v>
      </c>
      <c r="F281" s="16" t="n">
        <f aca="false">Sheet5_Multiple_Regression!$J$6+Sheet5_Multiple_Regression!$J$7*Sheet5_Multiple_Regression!A282+Sheet5_Multiple_Regression!$J$8*Sheet5_Multiple_Regression!B282+Sheet5_Multiple_Regression!$J$9*Sheet5_Multiple_Regression!C282+Sheet5_Multiple_Regression!$J$10*Sheet5_Multiple_Regression!D282+Sheet5_Multiple_Regression!$J$11*Sheet5_Multiple_Regression!E282+Sheet5_Multiple_Regression!$J$12*Sheet5_Multiple_Regression!F282+Sheet5_Multiple_Regression!$J$13*Sheet5_Multiple_Regression!G282</f>
        <v>735293.506921528</v>
      </c>
      <c r="G281" s="16" t="n">
        <f aca="false">E281-F281</f>
        <v>-62217.1669215282</v>
      </c>
    </row>
    <row r="282" customFormat="false" ht="15" hidden="false" customHeight="false" outlineLevel="0" collapsed="false">
      <c r="A282" s="6" t="str">
        <f aca="false">Sheet2_Cleaned_Data!A282</f>
        <v>STR-1070</v>
      </c>
      <c r="B282" s="6" t="str">
        <f aca="false">Sheet2_Cleaned_Data!B282</f>
        <v>2025-02-01</v>
      </c>
      <c r="C282" s="6" t="str">
        <f aca="false">Sheet2_Cleaned_Data!C282</f>
        <v>South</v>
      </c>
      <c r="D282" s="6" t="str">
        <f aca="false">Sheet2_Cleaned_Data!D282</f>
        <v>Residential</v>
      </c>
      <c r="E282" s="15" t="n">
        <f aca="false">Sheet2_Cleaned_Data!M282</f>
        <v>738548.42</v>
      </c>
      <c r="F282" s="16" t="n">
        <f aca="false">Sheet5_Multiple_Regression!$J$6+Sheet5_Multiple_Regression!$J$7*Sheet5_Multiple_Regression!A283+Sheet5_Multiple_Regression!$J$8*Sheet5_Multiple_Regression!B283+Sheet5_Multiple_Regression!$J$9*Sheet5_Multiple_Regression!C283+Sheet5_Multiple_Regression!$J$10*Sheet5_Multiple_Regression!D283+Sheet5_Multiple_Regression!$J$11*Sheet5_Multiple_Regression!E283+Sheet5_Multiple_Regression!$J$12*Sheet5_Multiple_Regression!F283+Sheet5_Multiple_Regression!$J$13*Sheet5_Multiple_Regression!G283</f>
        <v>698820.58292867</v>
      </c>
      <c r="G282" s="16" t="n">
        <f aca="false">E282-F282</f>
        <v>39727.8370713298</v>
      </c>
    </row>
    <row r="283" customFormat="false" ht="15" hidden="false" customHeight="false" outlineLevel="0" collapsed="false">
      <c r="A283" s="6" t="str">
        <f aca="false">Sheet2_Cleaned_Data!A283</f>
        <v>STR-1070</v>
      </c>
      <c r="B283" s="6" t="str">
        <f aca="false">Sheet2_Cleaned_Data!B283</f>
        <v>2025-03-01</v>
      </c>
      <c r="C283" s="6" t="str">
        <f aca="false">Sheet2_Cleaned_Data!C283</f>
        <v>South</v>
      </c>
      <c r="D283" s="6" t="str">
        <f aca="false">Sheet2_Cleaned_Data!D283</f>
        <v>Residential</v>
      </c>
      <c r="E283" s="15" t="n">
        <f aca="false">Sheet2_Cleaned_Data!M283</f>
        <v>756619.77</v>
      </c>
      <c r="F283" s="16" t="n">
        <f aca="false">Sheet5_Multiple_Regression!$J$6+Sheet5_Multiple_Regression!$J$7*Sheet5_Multiple_Regression!A284+Sheet5_Multiple_Regression!$J$8*Sheet5_Multiple_Regression!B284+Sheet5_Multiple_Regression!$J$9*Sheet5_Multiple_Regression!C284+Sheet5_Multiple_Regression!$J$10*Sheet5_Multiple_Regression!D284+Sheet5_Multiple_Regression!$J$11*Sheet5_Multiple_Regression!E284+Sheet5_Multiple_Regression!$J$12*Sheet5_Multiple_Regression!F284+Sheet5_Multiple_Regression!$J$13*Sheet5_Multiple_Regression!G284</f>
        <v>737931.931829764</v>
      </c>
      <c r="G283" s="16" t="n">
        <f aca="false">E283-F283</f>
        <v>18687.838170236</v>
      </c>
    </row>
    <row r="284" customFormat="false" ht="15" hidden="false" customHeight="false" outlineLevel="0" collapsed="false">
      <c r="A284" s="6" t="str">
        <f aca="false">Sheet2_Cleaned_Data!A284</f>
        <v>STR-1070</v>
      </c>
      <c r="B284" s="6" t="str">
        <f aca="false">Sheet2_Cleaned_Data!B284</f>
        <v>2025-04-01</v>
      </c>
      <c r="C284" s="6" t="str">
        <f aca="false">Sheet2_Cleaned_Data!C284</f>
        <v>South</v>
      </c>
      <c r="D284" s="6" t="str">
        <f aca="false">Sheet2_Cleaned_Data!D284</f>
        <v>Residential</v>
      </c>
      <c r="E284" s="15" t="n">
        <f aca="false">Sheet2_Cleaned_Data!M284</f>
        <v>761122.42</v>
      </c>
      <c r="F284" s="16" t="n">
        <f aca="false">Sheet5_Multiple_Regression!$J$6+Sheet5_Multiple_Regression!$J$7*Sheet5_Multiple_Regression!A285+Sheet5_Multiple_Regression!$J$8*Sheet5_Multiple_Regression!B285+Sheet5_Multiple_Regression!$J$9*Sheet5_Multiple_Regression!C285+Sheet5_Multiple_Regression!$J$10*Sheet5_Multiple_Regression!D285+Sheet5_Multiple_Regression!$J$11*Sheet5_Multiple_Regression!E285+Sheet5_Multiple_Regression!$J$12*Sheet5_Multiple_Regression!F285+Sheet5_Multiple_Regression!$J$13*Sheet5_Multiple_Regression!G285</f>
        <v>769770.782703006</v>
      </c>
      <c r="G284" s="16" t="n">
        <f aca="false">E284-F284</f>
        <v>-8648.36270300625</v>
      </c>
    </row>
    <row r="285" customFormat="false" ht="15" hidden="false" customHeight="false" outlineLevel="0" collapsed="false">
      <c r="A285" s="6" t="str">
        <f aca="false">Sheet2_Cleaned_Data!A285</f>
        <v>STR-1071</v>
      </c>
      <c r="B285" s="6" t="str">
        <f aca="false">Sheet2_Cleaned_Data!B285</f>
        <v>2025-01-01</v>
      </c>
      <c r="C285" s="6" t="str">
        <f aca="false">Sheet2_Cleaned_Data!C285</f>
        <v>South</v>
      </c>
      <c r="D285" s="6" t="str">
        <f aca="false">Sheet2_Cleaned_Data!D285</f>
        <v>High Street</v>
      </c>
      <c r="E285" s="15" t="n">
        <f aca="false">Sheet2_Cleaned_Data!M285</f>
        <v>524899.57</v>
      </c>
      <c r="F285" s="16" t="n">
        <f aca="false">Sheet5_Multiple_Regression!$J$6+Sheet5_Multiple_Regression!$J$7*Sheet5_Multiple_Regression!A286+Sheet5_Multiple_Regression!$J$8*Sheet5_Multiple_Regression!B286+Sheet5_Multiple_Regression!$J$9*Sheet5_Multiple_Regression!C286+Sheet5_Multiple_Regression!$J$10*Sheet5_Multiple_Regression!D286+Sheet5_Multiple_Regression!$J$11*Sheet5_Multiple_Regression!E286+Sheet5_Multiple_Regression!$J$12*Sheet5_Multiple_Regression!F286+Sheet5_Multiple_Regression!$J$13*Sheet5_Multiple_Regression!G286</f>
        <v>570888.791590506</v>
      </c>
      <c r="G285" s="16" t="n">
        <f aca="false">E285-F285</f>
        <v>-45989.221590506</v>
      </c>
    </row>
    <row r="286" customFormat="false" ht="15" hidden="false" customHeight="false" outlineLevel="0" collapsed="false">
      <c r="A286" s="6" t="str">
        <f aca="false">Sheet2_Cleaned_Data!A286</f>
        <v>STR-1071</v>
      </c>
      <c r="B286" s="6" t="str">
        <f aca="false">Sheet2_Cleaned_Data!B286</f>
        <v>2025-02-01</v>
      </c>
      <c r="C286" s="6" t="str">
        <f aca="false">Sheet2_Cleaned_Data!C286</f>
        <v>South</v>
      </c>
      <c r="D286" s="6" t="str">
        <f aca="false">Sheet2_Cleaned_Data!D286</f>
        <v>High Street</v>
      </c>
      <c r="E286" s="15" t="n">
        <f aca="false">Sheet2_Cleaned_Data!M286</f>
        <v>555557.77</v>
      </c>
      <c r="F286" s="16" t="n">
        <f aca="false">Sheet5_Multiple_Regression!$J$6+Sheet5_Multiple_Regression!$J$7*Sheet5_Multiple_Regression!A287+Sheet5_Multiple_Regression!$J$8*Sheet5_Multiple_Regression!B287+Sheet5_Multiple_Regression!$J$9*Sheet5_Multiple_Regression!C287+Sheet5_Multiple_Regression!$J$10*Sheet5_Multiple_Regression!D287+Sheet5_Multiple_Regression!$J$11*Sheet5_Multiple_Regression!E287+Sheet5_Multiple_Regression!$J$12*Sheet5_Multiple_Regression!F287+Sheet5_Multiple_Regression!$J$13*Sheet5_Multiple_Regression!G287</f>
        <v>584847.929826658</v>
      </c>
      <c r="G286" s="16" t="n">
        <f aca="false">E286-F286</f>
        <v>-29290.1598266576</v>
      </c>
    </row>
    <row r="287" customFormat="false" ht="15" hidden="false" customHeight="false" outlineLevel="0" collapsed="false">
      <c r="A287" s="6" t="str">
        <f aca="false">Sheet2_Cleaned_Data!A287</f>
        <v>STR-1071</v>
      </c>
      <c r="B287" s="6" t="str">
        <f aca="false">Sheet2_Cleaned_Data!B287</f>
        <v>2025-03-01</v>
      </c>
      <c r="C287" s="6" t="str">
        <f aca="false">Sheet2_Cleaned_Data!C287</f>
        <v>South</v>
      </c>
      <c r="D287" s="6" t="str">
        <f aca="false">Sheet2_Cleaned_Data!D287</f>
        <v>High Street</v>
      </c>
      <c r="E287" s="15" t="n">
        <f aca="false">Sheet2_Cleaned_Data!M287</f>
        <v>714083.68</v>
      </c>
      <c r="F287" s="16" t="n">
        <f aca="false">Sheet5_Multiple_Regression!$J$6+Sheet5_Multiple_Regression!$J$7*Sheet5_Multiple_Regression!A288+Sheet5_Multiple_Regression!$J$8*Sheet5_Multiple_Regression!B288+Sheet5_Multiple_Regression!$J$9*Sheet5_Multiple_Regression!C288+Sheet5_Multiple_Regression!$J$10*Sheet5_Multiple_Regression!D288+Sheet5_Multiple_Regression!$J$11*Sheet5_Multiple_Regression!E288+Sheet5_Multiple_Regression!$J$12*Sheet5_Multiple_Regression!F288+Sheet5_Multiple_Regression!$J$13*Sheet5_Multiple_Regression!G288</f>
        <v>690749.71204277</v>
      </c>
      <c r="G287" s="16" t="n">
        <f aca="false">E287-F287</f>
        <v>23333.9679572299</v>
      </c>
    </row>
    <row r="288" customFormat="false" ht="15" hidden="false" customHeight="false" outlineLevel="0" collapsed="false">
      <c r="A288" s="6" t="str">
        <f aca="false">Sheet2_Cleaned_Data!A288</f>
        <v>STR-1071</v>
      </c>
      <c r="B288" s="6" t="str">
        <f aca="false">Sheet2_Cleaned_Data!B288</f>
        <v>2025-04-01</v>
      </c>
      <c r="C288" s="6" t="str">
        <f aca="false">Sheet2_Cleaned_Data!C288</f>
        <v>South</v>
      </c>
      <c r="D288" s="6" t="str">
        <f aca="false">Sheet2_Cleaned_Data!D288</f>
        <v>High Street</v>
      </c>
      <c r="E288" s="15" t="n">
        <f aca="false">Sheet2_Cleaned_Data!M288</f>
        <v>497439.82</v>
      </c>
      <c r="F288" s="16" t="n">
        <f aca="false">Sheet5_Multiple_Regression!$J$6+Sheet5_Multiple_Regression!$J$7*Sheet5_Multiple_Regression!A289+Sheet5_Multiple_Regression!$J$8*Sheet5_Multiple_Regression!B289+Sheet5_Multiple_Regression!$J$9*Sheet5_Multiple_Regression!C289+Sheet5_Multiple_Regression!$J$10*Sheet5_Multiple_Regression!D289+Sheet5_Multiple_Regression!$J$11*Sheet5_Multiple_Regression!E289+Sheet5_Multiple_Regression!$J$12*Sheet5_Multiple_Regression!F289+Sheet5_Multiple_Regression!$J$13*Sheet5_Multiple_Regression!G289</f>
        <v>496101.442757852</v>
      </c>
      <c r="G288" s="16" t="n">
        <f aca="false">E288-F288</f>
        <v>1338.37724214781</v>
      </c>
    </row>
    <row r="289" customFormat="false" ht="15" hidden="false" customHeight="false" outlineLevel="0" collapsed="false">
      <c r="A289" s="6" t="str">
        <f aca="false">Sheet2_Cleaned_Data!A289</f>
        <v>STR-1072</v>
      </c>
      <c r="B289" s="6" t="str">
        <f aca="false">Sheet2_Cleaned_Data!B289</f>
        <v>2025-01-01</v>
      </c>
      <c r="C289" s="6" t="str">
        <f aca="false">Sheet2_Cleaned_Data!C289</f>
        <v>West</v>
      </c>
      <c r="D289" s="6" t="str">
        <f aca="false">Sheet2_Cleaned_Data!D289</f>
        <v>Residential</v>
      </c>
      <c r="E289" s="15" t="n">
        <f aca="false">Sheet2_Cleaned_Data!M289</f>
        <v>636775.66</v>
      </c>
      <c r="F289" s="16" t="n">
        <f aca="false">Sheet5_Multiple_Regression!$J$6+Sheet5_Multiple_Regression!$J$7*Sheet5_Multiple_Regression!A290+Sheet5_Multiple_Regression!$J$8*Sheet5_Multiple_Regression!B290+Sheet5_Multiple_Regression!$J$9*Sheet5_Multiple_Regression!C290+Sheet5_Multiple_Regression!$J$10*Sheet5_Multiple_Regression!D290+Sheet5_Multiple_Regression!$J$11*Sheet5_Multiple_Regression!E290+Sheet5_Multiple_Regression!$J$12*Sheet5_Multiple_Regression!F290+Sheet5_Multiple_Regression!$J$13*Sheet5_Multiple_Regression!G290</f>
        <v>636195.053055299</v>
      </c>
      <c r="G289" s="16" t="n">
        <f aca="false">E289-F289</f>
        <v>580.606944701518</v>
      </c>
    </row>
    <row r="290" customFormat="false" ht="15" hidden="false" customHeight="false" outlineLevel="0" collapsed="false">
      <c r="A290" s="6" t="str">
        <f aca="false">Sheet2_Cleaned_Data!A290</f>
        <v>STR-1072</v>
      </c>
      <c r="B290" s="6" t="str">
        <f aca="false">Sheet2_Cleaned_Data!B290</f>
        <v>2025-02-01</v>
      </c>
      <c r="C290" s="6" t="str">
        <f aca="false">Sheet2_Cleaned_Data!C290</f>
        <v>West</v>
      </c>
      <c r="D290" s="6" t="str">
        <f aca="false">Sheet2_Cleaned_Data!D290</f>
        <v>Residential</v>
      </c>
      <c r="E290" s="15" t="n">
        <f aca="false">Sheet2_Cleaned_Data!M290</f>
        <v>633009.53</v>
      </c>
      <c r="F290" s="16" t="n">
        <f aca="false">Sheet5_Multiple_Regression!$J$6+Sheet5_Multiple_Regression!$J$7*Sheet5_Multiple_Regression!A291+Sheet5_Multiple_Regression!$J$8*Sheet5_Multiple_Regression!B291+Sheet5_Multiple_Regression!$J$9*Sheet5_Multiple_Regression!C291+Sheet5_Multiple_Regression!$J$10*Sheet5_Multiple_Regression!D291+Sheet5_Multiple_Regression!$J$11*Sheet5_Multiple_Regression!E291+Sheet5_Multiple_Regression!$J$12*Sheet5_Multiple_Regression!F291+Sheet5_Multiple_Regression!$J$13*Sheet5_Multiple_Regression!G291</f>
        <v>621324.004192559</v>
      </c>
      <c r="G290" s="16" t="n">
        <f aca="false">E290-F290</f>
        <v>11685.5258074412</v>
      </c>
    </row>
    <row r="291" customFormat="false" ht="15" hidden="false" customHeight="false" outlineLevel="0" collapsed="false">
      <c r="A291" s="6" t="str">
        <f aca="false">Sheet2_Cleaned_Data!A291</f>
        <v>STR-1072</v>
      </c>
      <c r="B291" s="6" t="str">
        <f aca="false">Sheet2_Cleaned_Data!B291</f>
        <v>2025-03-01</v>
      </c>
      <c r="C291" s="6" t="str">
        <f aca="false">Sheet2_Cleaned_Data!C291</f>
        <v>West</v>
      </c>
      <c r="D291" s="6" t="str">
        <f aca="false">Sheet2_Cleaned_Data!D291</f>
        <v>Residential</v>
      </c>
      <c r="E291" s="15" t="n">
        <f aca="false">Sheet2_Cleaned_Data!M291</f>
        <v>609949</v>
      </c>
      <c r="F291" s="16" t="n">
        <f aca="false">Sheet5_Multiple_Regression!$J$6+Sheet5_Multiple_Regression!$J$7*Sheet5_Multiple_Regression!A292+Sheet5_Multiple_Regression!$J$8*Sheet5_Multiple_Regression!B292+Sheet5_Multiple_Regression!$J$9*Sheet5_Multiple_Regression!C292+Sheet5_Multiple_Regression!$J$10*Sheet5_Multiple_Regression!D292+Sheet5_Multiple_Regression!$J$11*Sheet5_Multiple_Regression!E292+Sheet5_Multiple_Regression!$J$12*Sheet5_Multiple_Regression!F292+Sheet5_Multiple_Regression!$J$13*Sheet5_Multiple_Regression!G292</f>
        <v>590312.189784271</v>
      </c>
      <c r="G291" s="16" t="n">
        <f aca="false">E291-F291</f>
        <v>19636.8102157288</v>
      </c>
    </row>
    <row r="292" customFormat="false" ht="15" hidden="false" customHeight="false" outlineLevel="0" collapsed="false">
      <c r="A292" s="6" t="str">
        <f aca="false">Sheet2_Cleaned_Data!A292</f>
        <v>STR-1072</v>
      </c>
      <c r="B292" s="6" t="str">
        <f aca="false">Sheet2_Cleaned_Data!B292</f>
        <v>2025-04-01</v>
      </c>
      <c r="C292" s="6" t="str">
        <f aca="false">Sheet2_Cleaned_Data!C292</f>
        <v>West</v>
      </c>
      <c r="D292" s="6" t="str">
        <f aca="false">Sheet2_Cleaned_Data!D292</f>
        <v>Residential</v>
      </c>
      <c r="E292" s="15" t="n">
        <f aca="false">Sheet2_Cleaned_Data!M292</f>
        <v>548103.7</v>
      </c>
      <c r="F292" s="16" t="n">
        <f aca="false">Sheet5_Multiple_Regression!$J$6+Sheet5_Multiple_Regression!$J$7*Sheet5_Multiple_Regression!A293+Sheet5_Multiple_Regression!$J$8*Sheet5_Multiple_Regression!B293+Sheet5_Multiple_Regression!$J$9*Sheet5_Multiple_Regression!C293+Sheet5_Multiple_Regression!$J$10*Sheet5_Multiple_Regression!D293+Sheet5_Multiple_Regression!$J$11*Sheet5_Multiple_Regression!E293+Sheet5_Multiple_Regression!$J$12*Sheet5_Multiple_Regression!F293+Sheet5_Multiple_Regression!$J$13*Sheet5_Multiple_Regression!G293</f>
        <v>542908.277939521</v>
      </c>
      <c r="G292" s="16" t="n">
        <f aca="false">E292-F292</f>
        <v>5195.42206047871</v>
      </c>
    </row>
    <row r="293" customFormat="false" ht="15" hidden="false" customHeight="false" outlineLevel="0" collapsed="false">
      <c r="A293" s="6" t="str">
        <f aca="false">Sheet2_Cleaned_Data!A293</f>
        <v>STR-1073</v>
      </c>
      <c r="B293" s="6" t="str">
        <f aca="false">Sheet2_Cleaned_Data!B293</f>
        <v>2025-01-01</v>
      </c>
      <c r="C293" s="6" t="str">
        <f aca="false">Sheet2_Cleaned_Data!C293</f>
        <v>East</v>
      </c>
      <c r="D293" s="6" t="str">
        <f aca="false">Sheet2_Cleaned_Data!D293</f>
        <v>Residential</v>
      </c>
      <c r="E293" s="15" t="n">
        <f aca="false">Sheet2_Cleaned_Data!M293</f>
        <v>729424.42</v>
      </c>
      <c r="F293" s="16" t="n">
        <f aca="false">Sheet5_Multiple_Regression!$J$6+Sheet5_Multiple_Regression!$J$7*Sheet5_Multiple_Regression!A294+Sheet5_Multiple_Regression!$J$8*Sheet5_Multiple_Regression!B294+Sheet5_Multiple_Regression!$J$9*Sheet5_Multiple_Regression!C294+Sheet5_Multiple_Regression!$J$10*Sheet5_Multiple_Regression!D294+Sheet5_Multiple_Regression!$J$11*Sheet5_Multiple_Regression!E294+Sheet5_Multiple_Regression!$J$12*Sheet5_Multiple_Regression!F294+Sheet5_Multiple_Regression!$J$13*Sheet5_Multiple_Regression!G294</f>
        <v>690247.366921166</v>
      </c>
      <c r="G293" s="16" t="n">
        <f aca="false">E293-F293</f>
        <v>39177.0530788339</v>
      </c>
    </row>
    <row r="294" customFormat="false" ht="15" hidden="false" customHeight="false" outlineLevel="0" collapsed="false">
      <c r="A294" s="6" t="str">
        <f aca="false">Sheet2_Cleaned_Data!A294</f>
        <v>STR-1073</v>
      </c>
      <c r="B294" s="6" t="str">
        <f aca="false">Sheet2_Cleaned_Data!B294</f>
        <v>2025-02-01</v>
      </c>
      <c r="C294" s="6" t="str">
        <f aca="false">Sheet2_Cleaned_Data!C294</f>
        <v>East</v>
      </c>
      <c r="D294" s="6" t="str">
        <f aca="false">Sheet2_Cleaned_Data!D294</f>
        <v>Residential</v>
      </c>
      <c r="E294" s="15" t="n">
        <f aca="false">Sheet2_Cleaned_Data!M294</f>
        <v>696261.49</v>
      </c>
      <c r="F294" s="16" t="n">
        <f aca="false">Sheet5_Multiple_Regression!$J$6+Sheet5_Multiple_Regression!$J$7*Sheet5_Multiple_Regression!A295+Sheet5_Multiple_Regression!$J$8*Sheet5_Multiple_Regression!B295+Sheet5_Multiple_Regression!$J$9*Sheet5_Multiple_Regression!C295+Sheet5_Multiple_Regression!$J$10*Sheet5_Multiple_Regression!D295+Sheet5_Multiple_Regression!$J$11*Sheet5_Multiple_Regression!E295+Sheet5_Multiple_Regression!$J$12*Sheet5_Multiple_Regression!F295+Sheet5_Multiple_Regression!$J$13*Sheet5_Multiple_Regression!G295</f>
        <v>713404.335928456</v>
      </c>
      <c r="G294" s="16" t="n">
        <f aca="false">E294-F294</f>
        <v>-17142.8459284559</v>
      </c>
    </row>
    <row r="295" customFormat="false" ht="15" hidden="false" customHeight="false" outlineLevel="0" collapsed="false">
      <c r="A295" s="6" t="str">
        <f aca="false">Sheet2_Cleaned_Data!A295</f>
        <v>STR-1073</v>
      </c>
      <c r="B295" s="6" t="str">
        <f aca="false">Sheet2_Cleaned_Data!B295</f>
        <v>2025-03-01</v>
      </c>
      <c r="C295" s="6" t="str">
        <f aca="false">Sheet2_Cleaned_Data!C295</f>
        <v>East</v>
      </c>
      <c r="D295" s="6" t="str">
        <f aca="false">Sheet2_Cleaned_Data!D295</f>
        <v>Residential</v>
      </c>
      <c r="E295" s="15" t="n">
        <f aca="false">Sheet2_Cleaned_Data!M295</f>
        <v>813316.71</v>
      </c>
      <c r="F295" s="16" t="n">
        <f aca="false">Sheet5_Multiple_Regression!$J$6+Sheet5_Multiple_Regression!$J$7*Sheet5_Multiple_Regression!A296+Sheet5_Multiple_Regression!$J$8*Sheet5_Multiple_Regression!B296+Sheet5_Multiple_Regression!$J$9*Sheet5_Multiple_Regression!C296+Sheet5_Multiple_Regression!$J$10*Sheet5_Multiple_Regression!D296+Sheet5_Multiple_Regression!$J$11*Sheet5_Multiple_Regression!E296+Sheet5_Multiple_Regression!$J$12*Sheet5_Multiple_Regression!F296+Sheet5_Multiple_Regression!$J$13*Sheet5_Multiple_Regression!G296</f>
        <v>713693.299723976</v>
      </c>
      <c r="G295" s="16" t="n">
        <f aca="false">E295-F295</f>
        <v>99623.4102760244</v>
      </c>
    </row>
    <row r="296" customFormat="false" ht="15" hidden="false" customHeight="false" outlineLevel="0" collapsed="false">
      <c r="A296" s="6" t="str">
        <f aca="false">Sheet2_Cleaned_Data!A296</f>
        <v>STR-1073</v>
      </c>
      <c r="B296" s="6" t="str">
        <f aca="false">Sheet2_Cleaned_Data!B296</f>
        <v>2025-04-01</v>
      </c>
      <c r="C296" s="6" t="str">
        <f aca="false">Sheet2_Cleaned_Data!C296</f>
        <v>East</v>
      </c>
      <c r="D296" s="6" t="str">
        <f aca="false">Sheet2_Cleaned_Data!D296</f>
        <v>Residential</v>
      </c>
      <c r="E296" s="15" t="n">
        <f aca="false">Sheet2_Cleaned_Data!M296</f>
        <v>702068.92</v>
      </c>
      <c r="F296" s="16" t="n">
        <f aca="false">Sheet5_Multiple_Regression!$J$6+Sheet5_Multiple_Regression!$J$7*Sheet5_Multiple_Regression!A297+Sheet5_Multiple_Regression!$J$8*Sheet5_Multiple_Regression!B297+Sheet5_Multiple_Regression!$J$9*Sheet5_Multiple_Regression!C297+Sheet5_Multiple_Regression!$J$10*Sheet5_Multiple_Regression!D297+Sheet5_Multiple_Regression!$J$11*Sheet5_Multiple_Regression!E297+Sheet5_Multiple_Regression!$J$12*Sheet5_Multiple_Regression!F297+Sheet5_Multiple_Regression!$J$13*Sheet5_Multiple_Regression!G297</f>
        <v>712929.681633818</v>
      </c>
      <c r="G296" s="16" t="n">
        <f aca="false">E296-F296</f>
        <v>-10860.7616338177</v>
      </c>
    </row>
    <row r="297" customFormat="false" ht="15" hidden="false" customHeight="false" outlineLevel="0" collapsed="false">
      <c r="A297" s="6" t="str">
        <f aca="false">Sheet2_Cleaned_Data!A297</f>
        <v>STR-1074</v>
      </c>
      <c r="B297" s="6" t="str">
        <f aca="false">Sheet2_Cleaned_Data!B297</f>
        <v>2025-01-01</v>
      </c>
      <c r="C297" s="6" t="str">
        <f aca="false">Sheet2_Cleaned_Data!C297</f>
        <v>West</v>
      </c>
      <c r="D297" s="6" t="str">
        <f aca="false">Sheet2_Cleaned_Data!D297</f>
        <v>High Street</v>
      </c>
      <c r="E297" s="15" t="n">
        <f aca="false">Sheet2_Cleaned_Data!M297</f>
        <v>546223.7</v>
      </c>
      <c r="F297" s="16" t="n">
        <f aca="false">Sheet5_Multiple_Regression!$J$6+Sheet5_Multiple_Regression!$J$7*Sheet5_Multiple_Regression!A298+Sheet5_Multiple_Regression!$J$8*Sheet5_Multiple_Regression!B298+Sheet5_Multiple_Regression!$J$9*Sheet5_Multiple_Regression!C298+Sheet5_Multiple_Regression!$J$10*Sheet5_Multiple_Regression!D298+Sheet5_Multiple_Regression!$J$11*Sheet5_Multiple_Regression!E298+Sheet5_Multiple_Regression!$J$12*Sheet5_Multiple_Regression!F298+Sheet5_Multiple_Regression!$J$13*Sheet5_Multiple_Regression!G298</f>
        <v>581131.58940504</v>
      </c>
      <c r="G297" s="16" t="n">
        <f aca="false">E297-F297</f>
        <v>-34907.8894050404</v>
      </c>
    </row>
    <row r="298" customFormat="false" ht="15" hidden="false" customHeight="false" outlineLevel="0" collapsed="false">
      <c r="A298" s="6" t="str">
        <f aca="false">Sheet2_Cleaned_Data!A298</f>
        <v>STR-1074</v>
      </c>
      <c r="B298" s="6" t="str">
        <f aca="false">Sheet2_Cleaned_Data!B298</f>
        <v>2025-02-01</v>
      </c>
      <c r="C298" s="6" t="str">
        <f aca="false">Sheet2_Cleaned_Data!C298</f>
        <v>West</v>
      </c>
      <c r="D298" s="6" t="str">
        <f aca="false">Sheet2_Cleaned_Data!D298</f>
        <v>High Street</v>
      </c>
      <c r="E298" s="15" t="n">
        <f aca="false">Sheet2_Cleaned_Data!M298</f>
        <v>533121.26</v>
      </c>
      <c r="F298" s="16" t="n">
        <f aca="false">Sheet5_Multiple_Regression!$J$6+Sheet5_Multiple_Regression!$J$7*Sheet5_Multiple_Regression!A299+Sheet5_Multiple_Regression!$J$8*Sheet5_Multiple_Regression!B299+Sheet5_Multiple_Regression!$J$9*Sheet5_Multiple_Regression!C299+Sheet5_Multiple_Regression!$J$10*Sheet5_Multiple_Regression!D299+Sheet5_Multiple_Regression!$J$11*Sheet5_Multiple_Regression!E299+Sheet5_Multiple_Regression!$J$12*Sheet5_Multiple_Regression!F299+Sheet5_Multiple_Regression!$J$13*Sheet5_Multiple_Regression!G299</f>
        <v>522228.420205167</v>
      </c>
      <c r="G298" s="16" t="n">
        <f aca="false">E298-F298</f>
        <v>10892.8397948333</v>
      </c>
    </row>
    <row r="299" customFormat="false" ht="15" hidden="false" customHeight="false" outlineLevel="0" collapsed="false">
      <c r="A299" s="6" t="str">
        <f aca="false">Sheet2_Cleaned_Data!A299</f>
        <v>STR-1074</v>
      </c>
      <c r="B299" s="6" t="str">
        <f aca="false">Sheet2_Cleaned_Data!B299</f>
        <v>2025-03-01</v>
      </c>
      <c r="C299" s="6" t="str">
        <f aca="false">Sheet2_Cleaned_Data!C299</f>
        <v>West</v>
      </c>
      <c r="D299" s="6" t="str">
        <f aca="false">Sheet2_Cleaned_Data!D299</f>
        <v>High Street</v>
      </c>
      <c r="E299" s="15" t="n">
        <f aca="false">Sheet2_Cleaned_Data!M299</f>
        <v>498970.32</v>
      </c>
      <c r="F299" s="16" t="n">
        <f aca="false">Sheet5_Multiple_Regression!$J$6+Sheet5_Multiple_Regression!$J$7*Sheet5_Multiple_Regression!A300+Sheet5_Multiple_Regression!$J$8*Sheet5_Multiple_Regression!B300+Sheet5_Multiple_Regression!$J$9*Sheet5_Multiple_Regression!C300+Sheet5_Multiple_Regression!$J$10*Sheet5_Multiple_Regression!D300+Sheet5_Multiple_Regression!$J$11*Sheet5_Multiple_Regression!E300+Sheet5_Multiple_Regression!$J$12*Sheet5_Multiple_Regression!F300+Sheet5_Multiple_Regression!$J$13*Sheet5_Multiple_Regression!G300</f>
        <v>489973.081800905</v>
      </c>
      <c r="G299" s="16" t="n">
        <f aca="false">E299-F299</f>
        <v>8997.23819909542</v>
      </c>
    </row>
    <row r="300" customFormat="false" ht="15" hidden="false" customHeight="false" outlineLevel="0" collapsed="false">
      <c r="A300" s="6" t="str">
        <f aca="false">Sheet2_Cleaned_Data!A300</f>
        <v>STR-1074</v>
      </c>
      <c r="B300" s="6" t="str">
        <f aca="false">Sheet2_Cleaned_Data!B300</f>
        <v>2025-04-01</v>
      </c>
      <c r="C300" s="6" t="str">
        <f aca="false">Sheet2_Cleaned_Data!C300</f>
        <v>West</v>
      </c>
      <c r="D300" s="6" t="str">
        <f aca="false">Sheet2_Cleaned_Data!D300</f>
        <v>High Street</v>
      </c>
      <c r="E300" s="15" t="n">
        <f aca="false">Sheet2_Cleaned_Data!M300</f>
        <v>487738.26</v>
      </c>
      <c r="F300" s="16" t="n">
        <f aca="false">Sheet5_Multiple_Regression!$J$6+Sheet5_Multiple_Regression!$J$7*Sheet5_Multiple_Regression!A301+Sheet5_Multiple_Regression!$J$8*Sheet5_Multiple_Regression!B301+Sheet5_Multiple_Regression!$J$9*Sheet5_Multiple_Regression!C301+Sheet5_Multiple_Regression!$J$10*Sheet5_Multiple_Regression!D301+Sheet5_Multiple_Regression!$J$11*Sheet5_Multiple_Regression!E301+Sheet5_Multiple_Regression!$J$12*Sheet5_Multiple_Regression!F301+Sheet5_Multiple_Regression!$J$13*Sheet5_Multiple_Regression!G301</f>
        <v>459871.3126067</v>
      </c>
      <c r="G300" s="16" t="n">
        <f aca="false">E300-F300</f>
        <v>27866.9473932998</v>
      </c>
    </row>
    <row r="301" customFormat="false" ht="15" hidden="false" customHeight="false" outlineLevel="0" collapsed="false">
      <c r="A301" s="6" t="str">
        <f aca="false">Sheet2_Cleaned_Data!A301</f>
        <v>STR-1075</v>
      </c>
      <c r="B301" s="6" t="str">
        <f aca="false">Sheet2_Cleaned_Data!B301</f>
        <v>2025-01-01</v>
      </c>
      <c r="C301" s="6" t="str">
        <f aca="false">Sheet2_Cleaned_Data!C301</f>
        <v>West</v>
      </c>
      <c r="D301" s="6" t="str">
        <f aca="false">Sheet2_Cleaned_Data!D301</f>
        <v>High Street</v>
      </c>
      <c r="E301" s="15" t="n">
        <f aca="false">Sheet2_Cleaned_Data!M301</f>
        <v>668459.37</v>
      </c>
      <c r="F301" s="16" t="n">
        <f aca="false">Sheet5_Multiple_Regression!$J$6+Sheet5_Multiple_Regression!$J$7*Sheet5_Multiple_Regression!A302+Sheet5_Multiple_Regression!$J$8*Sheet5_Multiple_Regression!B302+Sheet5_Multiple_Regression!$J$9*Sheet5_Multiple_Regression!C302+Sheet5_Multiple_Regression!$J$10*Sheet5_Multiple_Regression!D302+Sheet5_Multiple_Regression!$J$11*Sheet5_Multiple_Regression!E302+Sheet5_Multiple_Regression!$J$12*Sheet5_Multiple_Regression!F302+Sheet5_Multiple_Regression!$J$13*Sheet5_Multiple_Regression!G302</f>
        <v>677490.04417784</v>
      </c>
      <c r="G301" s="16" t="n">
        <f aca="false">E301-F301</f>
        <v>-9030.67417783977</v>
      </c>
    </row>
    <row r="302" customFormat="false" ht="15" hidden="false" customHeight="false" outlineLevel="0" collapsed="false">
      <c r="A302" s="6" t="str">
        <f aca="false">Sheet2_Cleaned_Data!A302</f>
        <v>STR-1075</v>
      </c>
      <c r="B302" s="6" t="str">
        <f aca="false">Sheet2_Cleaned_Data!B302</f>
        <v>2025-02-01</v>
      </c>
      <c r="C302" s="6" t="str">
        <f aca="false">Sheet2_Cleaned_Data!C302</f>
        <v>West</v>
      </c>
      <c r="D302" s="6" t="str">
        <f aca="false">Sheet2_Cleaned_Data!D302</f>
        <v>High Street</v>
      </c>
      <c r="E302" s="15" t="n">
        <f aca="false">Sheet2_Cleaned_Data!M302</f>
        <v>763162.45</v>
      </c>
      <c r="F302" s="16" t="n">
        <f aca="false">Sheet5_Multiple_Regression!$J$6+Sheet5_Multiple_Regression!$J$7*Sheet5_Multiple_Regression!A303+Sheet5_Multiple_Regression!$J$8*Sheet5_Multiple_Regression!B303+Sheet5_Multiple_Regression!$J$9*Sheet5_Multiple_Regression!C303+Sheet5_Multiple_Regression!$J$10*Sheet5_Multiple_Regression!D303+Sheet5_Multiple_Regression!$J$11*Sheet5_Multiple_Regression!E303+Sheet5_Multiple_Regression!$J$12*Sheet5_Multiple_Regression!F303+Sheet5_Multiple_Regression!$J$13*Sheet5_Multiple_Regression!G303</f>
        <v>682998.496577818</v>
      </c>
      <c r="G302" s="16" t="n">
        <f aca="false">E302-F302</f>
        <v>80163.953422182</v>
      </c>
    </row>
    <row r="303" customFormat="false" ht="15" hidden="false" customHeight="false" outlineLevel="0" collapsed="false">
      <c r="A303" s="6" t="str">
        <f aca="false">Sheet2_Cleaned_Data!A303</f>
        <v>STR-1075</v>
      </c>
      <c r="B303" s="6" t="str">
        <f aca="false">Sheet2_Cleaned_Data!B303</f>
        <v>2025-03-01</v>
      </c>
      <c r="C303" s="6" t="str">
        <f aca="false">Sheet2_Cleaned_Data!C303</f>
        <v>West</v>
      </c>
      <c r="D303" s="6" t="str">
        <f aca="false">Sheet2_Cleaned_Data!D303</f>
        <v>High Street</v>
      </c>
      <c r="E303" s="15" t="n">
        <f aca="false">Sheet2_Cleaned_Data!M303</f>
        <v>599017.33</v>
      </c>
      <c r="F303" s="16" t="n">
        <f aca="false">Sheet5_Multiple_Regression!$J$6+Sheet5_Multiple_Regression!$J$7*Sheet5_Multiple_Regression!A304+Sheet5_Multiple_Regression!$J$8*Sheet5_Multiple_Regression!B304+Sheet5_Multiple_Regression!$J$9*Sheet5_Multiple_Regression!C304+Sheet5_Multiple_Regression!$J$10*Sheet5_Multiple_Regression!D304+Sheet5_Multiple_Regression!$J$11*Sheet5_Multiple_Regression!E304+Sheet5_Multiple_Regression!$J$12*Sheet5_Multiple_Regression!F304+Sheet5_Multiple_Regression!$J$13*Sheet5_Multiple_Regression!G304</f>
        <v>624110.863330974</v>
      </c>
      <c r="G303" s="16" t="n">
        <f aca="false">E303-F303</f>
        <v>-25093.5333309736</v>
      </c>
    </row>
    <row r="304" customFormat="false" ht="15" hidden="false" customHeight="false" outlineLevel="0" collapsed="false">
      <c r="A304" s="6" t="str">
        <f aca="false">Sheet2_Cleaned_Data!A304</f>
        <v>STR-1075</v>
      </c>
      <c r="B304" s="6" t="str">
        <f aca="false">Sheet2_Cleaned_Data!B304</f>
        <v>2025-04-01</v>
      </c>
      <c r="C304" s="6" t="str">
        <f aca="false">Sheet2_Cleaned_Data!C304</f>
        <v>West</v>
      </c>
      <c r="D304" s="6" t="str">
        <f aca="false">Sheet2_Cleaned_Data!D304</f>
        <v>High Street</v>
      </c>
      <c r="E304" s="15" t="n">
        <f aca="false">Sheet2_Cleaned_Data!M304</f>
        <v>401582.58</v>
      </c>
      <c r="F304" s="16" t="n">
        <f aca="false">Sheet5_Multiple_Regression!$J$6+Sheet5_Multiple_Regression!$J$7*Sheet5_Multiple_Regression!A305+Sheet5_Multiple_Regression!$J$8*Sheet5_Multiple_Regression!B305+Sheet5_Multiple_Regression!$J$9*Sheet5_Multiple_Regression!C305+Sheet5_Multiple_Regression!$J$10*Sheet5_Multiple_Regression!D305+Sheet5_Multiple_Regression!$J$11*Sheet5_Multiple_Regression!E305+Sheet5_Multiple_Regression!$J$12*Sheet5_Multiple_Regression!F305+Sheet5_Multiple_Regression!$J$13*Sheet5_Multiple_Regression!G305</f>
        <v>475638.930128284</v>
      </c>
      <c r="G304" s="16" t="n">
        <f aca="false">E304-F304</f>
        <v>-74056.3501282838</v>
      </c>
    </row>
    <row r="305" customFormat="false" ht="15" hidden="false" customHeight="false" outlineLevel="0" collapsed="false">
      <c r="A305" s="6" t="str">
        <f aca="false">Sheet2_Cleaned_Data!A305</f>
        <v>STR-1076</v>
      </c>
      <c r="B305" s="6" t="str">
        <f aca="false">Sheet2_Cleaned_Data!B305</f>
        <v>2025-01-01</v>
      </c>
      <c r="C305" s="6" t="str">
        <f aca="false">Sheet2_Cleaned_Data!C305</f>
        <v>North</v>
      </c>
      <c r="D305" s="6" t="str">
        <f aca="false">Sheet2_Cleaned_Data!D305</f>
        <v>Mall</v>
      </c>
      <c r="E305" s="15" t="n">
        <f aca="false">Sheet2_Cleaned_Data!M305</f>
        <v>703812.99</v>
      </c>
      <c r="F305" s="16" t="n">
        <f aca="false">Sheet5_Multiple_Regression!$J$6+Sheet5_Multiple_Regression!$J$7*Sheet5_Multiple_Regression!A306+Sheet5_Multiple_Regression!$J$8*Sheet5_Multiple_Regression!B306+Sheet5_Multiple_Regression!$J$9*Sheet5_Multiple_Regression!C306+Sheet5_Multiple_Regression!$J$10*Sheet5_Multiple_Regression!D306+Sheet5_Multiple_Regression!$J$11*Sheet5_Multiple_Regression!E306+Sheet5_Multiple_Regression!$J$12*Sheet5_Multiple_Regression!F306+Sheet5_Multiple_Regression!$J$13*Sheet5_Multiple_Regression!G306</f>
        <v>729917.980216372</v>
      </c>
      <c r="G305" s="16" t="n">
        <f aca="false">E305-F305</f>
        <v>-26104.9902163717</v>
      </c>
    </row>
    <row r="306" customFormat="false" ht="15" hidden="false" customHeight="false" outlineLevel="0" collapsed="false">
      <c r="A306" s="6" t="str">
        <f aca="false">Sheet2_Cleaned_Data!A306</f>
        <v>STR-1076</v>
      </c>
      <c r="B306" s="6" t="str">
        <f aca="false">Sheet2_Cleaned_Data!B306</f>
        <v>2025-02-01</v>
      </c>
      <c r="C306" s="6" t="str">
        <f aca="false">Sheet2_Cleaned_Data!C306</f>
        <v>North</v>
      </c>
      <c r="D306" s="6" t="str">
        <f aca="false">Sheet2_Cleaned_Data!D306</f>
        <v>Mall</v>
      </c>
      <c r="E306" s="15" t="n">
        <f aca="false">Sheet2_Cleaned_Data!M306</f>
        <v>724346.73</v>
      </c>
      <c r="F306" s="16" t="n">
        <f aca="false">Sheet5_Multiple_Regression!$J$6+Sheet5_Multiple_Regression!$J$7*Sheet5_Multiple_Regression!A307+Sheet5_Multiple_Regression!$J$8*Sheet5_Multiple_Regression!B307+Sheet5_Multiple_Regression!$J$9*Sheet5_Multiple_Regression!C307+Sheet5_Multiple_Regression!$J$10*Sheet5_Multiple_Regression!D307+Sheet5_Multiple_Regression!$J$11*Sheet5_Multiple_Regression!E307+Sheet5_Multiple_Regression!$J$12*Sheet5_Multiple_Regression!F307+Sheet5_Multiple_Regression!$J$13*Sheet5_Multiple_Regression!G307</f>
        <v>737507.877726</v>
      </c>
      <c r="G306" s="16" t="n">
        <f aca="false">E306-F306</f>
        <v>-13161.1477259999</v>
      </c>
    </row>
    <row r="307" customFormat="false" ht="15" hidden="false" customHeight="false" outlineLevel="0" collapsed="false">
      <c r="A307" s="6" t="str">
        <f aca="false">Sheet2_Cleaned_Data!A307</f>
        <v>STR-1076</v>
      </c>
      <c r="B307" s="6" t="str">
        <f aca="false">Sheet2_Cleaned_Data!B307</f>
        <v>2025-03-01</v>
      </c>
      <c r="C307" s="6" t="str">
        <f aca="false">Sheet2_Cleaned_Data!C307</f>
        <v>North</v>
      </c>
      <c r="D307" s="6" t="str">
        <f aca="false">Sheet2_Cleaned_Data!D307</f>
        <v>Mall</v>
      </c>
      <c r="E307" s="15" t="n">
        <f aca="false">Sheet2_Cleaned_Data!M307</f>
        <v>730890.01</v>
      </c>
      <c r="F307" s="16" t="n">
        <f aca="false">Sheet5_Multiple_Regression!$J$6+Sheet5_Multiple_Regression!$J$7*Sheet5_Multiple_Regression!A308+Sheet5_Multiple_Regression!$J$8*Sheet5_Multiple_Regression!B308+Sheet5_Multiple_Regression!$J$9*Sheet5_Multiple_Regression!C308+Sheet5_Multiple_Regression!$J$10*Sheet5_Multiple_Regression!D308+Sheet5_Multiple_Regression!$J$11*Sheet5_Multiple_Regression!E308+Sheet5_Multiple_Regression!$J$12*Sheet5_Multiple_Regression!F308+Sheet5_Multiple_Regression!$J$13*Sheet5_Multiple_Regression!G308</f>
        <v>742146.742056413</v>
      </c>
      <c r="G307" s="16" t="n">
        <f aca="false">E307-F307</f>
        <v>-11256.7320564134</v>
      </c>
    </row>
    <row r="308" customFormat="false" ht="15" hidden="false" customHeight="false" outlineLevel="0" collapsed="false">
      <c r="A308" s="6" t="str">
        <f aca="false">Sheet2_Cleaned_Data!A308</f>
        <v>STR-1076</v>
      </c>
      <c r="B308" s="6" t="str">
        <f aca="false">Sheet2_Cleaned_Data!B308</f>
        <v>2025-04-01</v>
      </c>
      <c r="C308" s="6" t="str">
        <f aca="false">Sheet2_Cleaned_Data!C308</f>
        <v>North</v>
      </c>
      <c r="D308" s="6" t="str">
        <f aca="false">Sheet2_Cleaned_Data!D308</f>
        <v>Mall</v>
      </c>
      <c r="E308" s="15" t="n">
        <f aca="false">Sheet2_Cleaned_Data!M308</f>
        <v>780580.95</v>
      </c>
      <c r="F308" s="16" t="n">
        <f aca="false">Sheet5_Multiple_Regression!$J$6+Sheet5_Multiple_Regression!$J$7*Sheet5_Multiple_Regression!A309+Sheet5_Multiple_Regression!$J$8*Sheet5_Multiple_Regression!B309+Sheet5_Multiple_Regression!$J$9*Sheet5_Multiple_Regression!C309+Sheet5_Multiple_Regression!$J$10*Sheet5_Multiple_Regression!D309+Sheet5_Multiple_Regression!$J$11*Sheet5_Multiple_Regression!E309+Sheet5_Multiple_Regression!$J$12*Sheet5_Multiple_Regression!F309+Sheet5_Multiple_Regression!$J$13*Sheet5_Multiple_Regression!G309</f>
        <v>728560.38626782</v>
      </c>
      <c r="G308" s="16" t="n">
        <f aca="false">E308-F308</f>
        <v>52020.5637321803</v>
      </c>
    </row>
    <row r="309" customFormat="false" ht="15" hidden="false" customHeight="false" outlineLevel="0" collapsed="false">
      <c r="A309" s="6" t="str">
        <f aca="false">Sheet2_Cleaned_Data!A309</f>
        <v>STR-1077</v>
      </c>
      <c r="B309" s="6" t="str">
        <f aca="false">Sheet2_Cleaned_Data!B309</f>
        <v>2025-01-01</v>
      </c>
      <c r="C309" s="6" t="str">
        <f aca="false">Sheet2_Cleaned_Data!C309</f>
        <v>South</v>
      </c>
      <c r="D309" s="6" t="str">
        <f aca="false">Sheet2_Cleaned_Data!D309</f>
        <v>Residential</v>
      </c>
      <c r="E309" s="15" t="n">
        <f aca="false">Sheet2_Cleaned_Data!M309</f>
        <v>727957.48</v>
      </c>
      <c r="F309" s="16" t="n">
        <f aca="false">Sheet5_Multiple_Regression!$J$6+Sheet5_Multiple_Regression!$J$7*Sheet5_Multiple_Regression!A310+Sheet5_Multiple_Regression!$J$8*Sheet5_Multiple_Regression!B310+Sheet5_Multiple_Regression!$J$9*Sheet5_Multiple_Regression!C310+Sheet5_Multiple_Regression!$J$10*Sheet5_Multiple_Regression!D310+Sheet5_Multiple_Regression!$J$11*Sheet5_Multiple_Regression!E310+Sheet5_Multiple_Regression!$J$12*Sheet5_Multiple_Regression!F310+Sheet5_Multiple_Regression!$J$13*Sheet5_Multiple_Regression!G310</f>
        <v>677173.036943089</v>
      </c>
      <c r="G309" s="16" t="n">
        <f aca="false">E309-F309</f>
        <v>50784.4430569111</v>
      </c>
    </row>
    <row r="310" customFormat="false" ht="15" hidden="false" customHeight="false" outlineLevel="0" collapsed="false">
      <c r="A310" s="6" t="str">
        <f aca="false">Sheet2_Cleaned_Data!A310</f>
        <v>STR-1077</v>
      </c>
      <c r="B310" s="6" t="str">
        <f aca="false">Sheet2_Cleaned_Data!B310</f>
        <v>2025-02-01</v>
      </c>
      <c r="C310" s="6" t="str">
        <f aca="false">Sheet2_Cleaned_Data!C310</f>
        <v>South</v>
      </c>
      <c r="D310" s="6" t="str">
        <f aca="false">Sheet2_Cleaned_Data!D310</f>
        <v>Residential</v>
      </c>
      <c r="E310" s="15" t="n">
        <f aca="false">Sheet2_Cleaned_Data!M310</f>
        <v>538376</v>
      </c>
      <c r="F310" s="16" t="n">
        <f aca="false">Sheet5_Multiple_Regression!$J$6+Sheet5_Multiple_Regression!$J$7*Sheet5_Multiple_Regression!A311+Sheet5_Multiple_Regression!$J$8*Sheet5_Multiple_Regression!B311+Sheet5_Multiple_Regression!$J$9*Sheet5_Multiple_Regression!C311+Sheet5_Multiple_Regression!$J$10*Sheet5_Multiple_Regression!D311+Sheet5_Multiple_Regression!$J$11*Sheet5_Multiple_Regression!E311+Sheet5_Multiple_Regression!$J$12*Sheet5_Multiple_Regression!F311+Sheet5_Multiple_Regression!$J$13*Sheet5_Multiple_Regression!G311</f>
        <v>627543.751282039</v>
      </c>
      <c r="G310" s="16" t="n">
        <f aca="false">E310-F310</f>
        <v>-89167.7512820386</v>
      </c>
    </row>
    <row r="311" customFormat="false" ht="15" hidden="false" customHeight="false" outlineLevel="0" collapsed="false">
      <c r="A311" s="6" t="str">
        <f aca="false">Sheet2_Cleaned_Data!A311</f>
        <v>STR-1077</v>
      </c>
      <c r="B311" s="6" t="str">
        <f aca="false">Sheet2_Cleaned_Data!B311</f>
        <v>2025-03-01</v>
      </c>
      <c r="C311" s="6" t="str">
        <f aca="false">Sheet2_Cleaned_Data!C311</f>
        <v>South</v>
      </c>
      <c r="D311" s="6" t="str">
        <f aca="false">Sheet2_Cleaned_Data!D311</f>
        <v>Residential</v>
      </c>
      <c r="E311" s="15" t="n">
        <f aca="false">Sheet2_Cleaned_Data!M311</f>
        <v>665342.49</v>
      </c>
      <c r="F311" s="16" t="n">
        <f aca="false">Sheet5_Multiple_Regression!$J$6+Sheet5_Multiple_Regression!$J$7*Sheet5_Multiple_Regression!A312+Sheet5_Multiple_Regression!$J$8*Sheet5_Multiple_Regression!B312+Sheet5_Multiple_Regression!$J$9*Sheet5_Multiple_Regression!C312+Sheet5_Multiple_Regression!$J$10*Sheet5_Multiple_Regression!D312+Sheet5_Multiple_Regression!$J$11*Sheet5_Multiple_Regression!E312+Sheet5_Multiple_Regression!$J$12*Sheet5_Multiple_Regression!F312+Sheet5_Multiple_Regression!$J$13*Sheet5_Multiple_Regression!G312</f>
        <v>607749.68163596</v>
      </c>
      <c r="G311" s="16" t="n">
        <f aca="false">E311-F311</f>
        <v>57592.8083640396</v>
      </c>
    </row>
    <row r="312" customFormat="false" ht="15" hidden="false" customHeight="false" outlineLevel="0" collapsed="false">
      <c r="A312" s="6" t="str">
        <f aca="false">Sheet2_Cleaned_Data!A312</f>
        <v>STR-1077</v>
      </c>
      <c r="B312" s="6" t="str">
        <f aca="false">Sheet2_Cleaned_Data!B312</f>
        <v>2025-04-01</v>
      </c>
      <c r="C312" s="6" t="str">
        <f aca="false">Sheet2_Cleaned_Data!C312</f>
        <v>South</v>
      </c>
      <c r="D312" s="6" t="str">
        <f aca="false">Sheet2_Cleaned_Data!D312</f>
        <v>Residential</v>
      </c>
      <c r="E312" s="15" t="n">
        <f aca="false">Sheet2_Cleaned_Data!M312</f>
        <v>651164.18</v>
      </c>
      <c r="F312" s="16" t="n">
        <f aca="false">Sheet5_Multiple_Regression!$J$6+Sheet5_Multiple_Regression!$J$7*Sheet5_Multiple_Regression!A313+Sheet5_Multiple_Regression!$J$8*Sheet5_Multiple_Regression!B313+Sheet5_Multiple_Regression!$J$9*Sheet5_Multiple_Regression!C313+Sheet5_Multiple_Regression!$J$10*Sheet5_Multiple_Regression!D313+Sheet5_Multiple_Regression!$J$11*Sheet5_Multiple_Regression!E313+Sheet5_Multiple_Regression!$J$12*Sheet5_Multiple_Regression!F313+Sheet5_Multiple_Regression!$J$13*Sheet5_Multiple_Regression!G313</f>
        <v>699182.472532613</v>
      </c>
      <c r="G312" s="16" t="n">
        <f aca="false">E312-F312</f>
        <v>-48018.2925326132</v>
      </c>
    </row>
    <row r="313" customFormat="false" ht="15" hidden="false" customHeight="false" outlineLevel="0" collapsed="false">
      <c r="A313" s="6" t="str">
        <f aca="false">Sheet2_Cleaned_Data!A313</f>
        <v>STR-1078</v>
      </c>
      <c r="B313" s="6" t="str">
        <f aca="false">Sheet2_Cleaned_Data!B313</f>
        <v>2025-01-01</v>
      </c>
      <c r="C313" s="6" t="str">
        <f aca="false">Sheet2_Cleaned_Data!C313</f>
        <v>South</v>
      </c>
      <c r="D313" s="6" t="str">
        <f aca="false">Sheet2_Cleaned_Data!D313</f>
        <v>High Street</v>
      </c>
      <c r="E313" s="15" t="n">
        <f aca="false">Sheet2_Cleaned_Data!M313</f>
        <v>628538.3</v>
      </c>
      <c r="F313" s="16" t="n">
        <f aca="false">Sheet5_Multiple_Regression!$J$6+Sheet5_Multiple_Regression!$J$7*Sheet5_Multiple_Regression!A314+Sheet5_Multiple_Regression!$J$8*Sheet5_Multiple_Regression!B314+Sheet5_Multiple_Regression!$J$9*Sheet5_Multiple_Regression!C314+Sheet5_Multiple_Regression!$J$10*Sheet5_Multiple_Regression!D314+Sheet5_Multiple_Regression!$J$11*Sheet5_Multiple_Regression!E314+Sheet5_Multiple_Regression!$J$12*Sheet5_Multiple_Regression!F314+Sheet5_Multiple_Regression!$J$13*Sheet5_Multiple_Regression!G314</f>
        <v>640804.089548555</v>
      </c>
      <c r="G313" s="16" t="n">
        <f aca="false">E313-F313</f>
        <v>-12265.789548555</v>
      </c>
    </row>
    <row r="314" customFormat="false" ht="15" hidden="false" customHeight="false" outlineLevel="0" collapsed="false">
      <c r="A314" s="6" t="str">
        <f aca="false">Sheet2_Cleaned_Data!A314</f>
        <v>STR-1078</v>
      </c>
      <c r="B314" s="6" t="str">
        <f aca="false">Sheet2_Cleaned_Data!B314</f>
        <v>2025-02-01</v>
      </c>
      <c r="C314" s="6" t="str">
        <f aca="false">Sheet2_Cleaned_Data!C314</f>
        <v>South</v>
      </c>
      <c r="D314" s="6" t="str">
        <f aca="false">Sheet2_Cleaned_Data!D314</f>
        <v>High Street</v>
      </c>
      <c r="E314" s="15" t="n">
        <f aca="false">Sheet2_Cleaned_Data!M314</f>
        <v>536524.84</v>
      </c>
      <c r="F314" s="16" t="n">
        <f aca="false">Sheet5_Multiple_Regression!$J$6+Sheet5_Multiple_Regression!$J$7*Sheet5_Multiple_Regression!A315+Sheet5_Multiple_Regression!$J$8*Sheet5_Multiple_Regression!B315+Sheet5_Multiple_Regression!$J$9*Sheet5_Multiple_Regression!C315+Sheet5_Multiple_Regression!$J$10*Sheet5_Multiple_Regression!D315+Sheet5_Multiple_Regression!$J$11*Sheet5_Multiple_Regression!E315+Sheet5_Multiple_Regression!$J$12*Sheet5_Multiple_Regression!F315+Sheet5_Multiple_Regression!$J$13*Sheet5_Multiple_Regression!G315</f>
        <v>571810.506637382</v>
      </c>
      <c r="G314" s="16" t="n">
        <f aca="false">E314-F314</f>
        <v>-35285.6666373824</v>
      </c>
    </row>
    <row r="315" customFormat="false" ht="15" hidden="false" customHeight="false" outlineLevel="0" collapsed="false">
      <c r="A315" s="6" t="str">
        <f aca="false">Sheet2_Cleaned_Data!A315</f>
        <v>STR-1078</v>
      </c>
      <c r="B315" s="6" t="str">
        <f aca="false">Sheet2_Cleaned_Data!B315</f>
        <v>2025-03-01</v>
      </c>
      <c r="C315" s="6" t="str">
        <f aca="false">Sheet2_Cleaned_Data!C315</f>
        <v>South</v>
      </c>
      <c r="D315" s="6" t="str">
        <f aca="false">Sheet2_Cleaned_Data!D315</f>
        <v>High Street</v>
      </c>
      <c r="E315" s="15" t="n">
        <f aca="false">Sheet2_Cleaned_Data!M315</f>
        <v>621677.3</v>
      </c>
      <c r="F315" s="16" t="n">
        <f aca="false">Sheet5_Multiple_Regression!$J$6+Sheet5_Multiple_Regression!$J$7*Sheet5_Multiple_Regression!A316+Sheet5_Multiple_Regression!$J$8*Sheet5_Multiple_Regression!B316+Sheet5_Multiple_Regression!$J$9*Sheet5_Multiple_Regression!C316+Sheet5_Multiple_Regression!$J$10*Sheet5_Multiple_Regression!D316+Sheet5_Multiple_Regression!$J$11*Sheet5_Multiple_Regression!E316+Sheet5_Multiple_Regression!$J$12*Sheet5_Multiple_Regression!F316+Sheet5_Multiple_Regression!$J$13*Sheet5_Multiple_Regression!G316</f>
        <v>628577.336927388</v>
      </c>
      <c r="G315" s="16" t="n">
        <f aca="false">E315-F315</f>
        <v>-6900.03692738828</v>
      </c>
    </row>
    <row r="316" customFormat="false" ht="15" hidden="false" customHeight="false" outlineLevel="0" collapsed="false">
      <c r="A316" s="6" t="str">
        <f aca="false">Sheet2_Cleaned_Data!A316</f>
        <v>STR-1078</v>
      </c>
      <c r="B316" s="6" t="str">
        <f aca="false">Sheet2_Cleaned_Data!B316</f>
        <v>2025-04-01</v>
      </c>
      <c r="C316" s="6" t="str">
        <f aca="false">Sheet2_Cleaned_Data!C316</f>
        <v>South</v>
      </c>
      <c r="D316" s="6" t="str">
        <f aca="false">Sheet2_Cleaned_Data!D316</f>
        <v>High Street</v>
      </c>
      <c r="E316" s="15" t="n">
        <f aca="false">Sheet2_Cleaned_Data!M316</f>
        <v>771129.07</v>
      </c>
      <c r="F316" s="16" t="n">
        <f aca="false">Sheet5_Multiple_Regression!$J$6+Sheet5_Multiple_Regression!$J$7*Sheet5_Multiple_Regression!A317+Sheet5_Multiple_Regression!$J$8*Sheet5_Multiple_Regression!B317+Sheet5_Multiple_Regression!$J$9*Sheet5_Multiple_Regression!C317+Sheet5_Multiple_Regression!$J$10*Sheet5_Multiple_Regression!D317+Sheet5_Multiple_Regression!$J$11*Sheet5_Multiple_Regression!E317+Sheet5_Multiple_Regression!$J$12*Sheet5_Multiple_Regression!F317+Sheet5_Multiple_Regression!$J$13*Sheet5_Multiple_Regression!G317</f>
        <v>747692.766184785</v>
      </c>
      <c r="G316" s="16" t="n">
        <f aca="false">E316-F316</f>
        <v>23436.3038152155</v>
      </c>
    </row>
    <row r="317" customFormat="false" ht="15" hidden="false" customHeight="false" outlineLevel="0" collapsed="false">
      <c r="A317" s="6" t="str">
        <f aca="false">Sheet2_Cleaned_Data!A317</f>
        <v>STR-1079</v>
      </c>
      <c r="B317" s="6" t="str">
        <f aca="false">Sheet2_Cleaned_Data!B317</f>
        <v>2025-01-01</v>
      </c>
      <c r="C317" s="6" t="str">
        <f aca="false">Sheet2_Cleaned_Data!C317</f>
        <v>North</v>
      </c>
      <c r="D317" s="6" t="str">
        <f aca="false">Sheet2_Cleaned_Data!D317</f>
        <v>Residential</v>
      </c>
      <c r="E317" s="15" t="n">
        <f aca="false">Sheet2_Cleaned_Data!M317</f>
        <v>702052.47</v>
      </c>
      <c r="F317" s="16" t="n">
        <f aca="false">Sheet5_Multiple_Regression!$J$6+Sheet5_Multiple_Regression!$J$7*Sheet5_Multiple_Regression!A318+Sheet5_Multiple_Regression!$J$8*Sheet5_Multiple_Regression!B318+Sheet5_Multiple_Regression!$J$9*Sheet5_Multiple_Regression!C318+Sheet5_Multiple_Regression!$J$10*Sheet5_Multiple_Regression!D318+Sheet5_Multiple_Regression!$J$11*Sheet5_Multiple_Regression!E318+Sheet5_Multiple_Regression!$J$12*Sheet5_Multiple_Regression!F318+Sheet5_Multiple_Regression!$J$13*Sheet5_Multiple_Regression!G318</f>
        <v>675246.174026107</v>
      </c>
      <c r="G317" s="16" t="n">
        <f aca="false">E317-F317</f>
        <v>26806.2959738929</v>
      </c>
    </row>
    <row r="318" customFormat="false" ht="15" hidden="false" customHeight="false" outlineLevel="0" collapsed="false">
      <c r="A318" s="6" t="str">
        <f aca="false">Sheet2_Cleaned_Data!A318</f>
        <v>STR-1079</v>
      </c>
      <c r="B318" s="6" t="str">
        <f aca="false">Sheet2_Cleaned_Data!B318</f>
        <v>2025-02-01</v>
      </c>
      <c r="C318" s="6" t="str">
        <f aca="false">Sheet2_Cleaned_Data!C318</f>
        <v>North</v>
      </c>
      <c r="D318" s="6" t="str">
        <f aca="false">Sheet2_Cleaned_Data!D318</f>
        <v>Residential</v>
      </c>
      <c r="E318" s="15" t="n">
        <f aca="false">Sheet2_Cleaned_Data!M318</f>
        <v>688368.46</v>
      </c>
      <c r="F318" s="16" t="n">
        <f aca="false">Sheet5_Multiple_Regression!$J$6+Sheet5_Multiple_Regression!$J$7*Sheet5_Multiple_Regression!A319+Sheet5_Multiple_Regression!$J$8*Sheet5_Multiple_Regression!B319+Sheet5_Multiple_Regression!$J$9*Sheet5_Multiple_Regression!C319+Sheet5_Multiple_Regression!$J$10*Sheet5_Multiple_Regression!D319+Sheet5_Multiple_Regression!$J$11*Sheet5_Multiple_Regression!E319+Sheet5_Multiple_Regression!$J$12*Sheet5_Multiple_Regression!F319+Sheet5_Multiple_Regression!$J$13*Sheet5_Multiple_Regression!G319</f>
        <v>716982.707255941</v>
      </c>
      <c r="G318" s="16" t="n">
        <f aca="false">E318-F318</f>
        <v>-28614.2472559414</v>
      </c>
    </row>
    <row r="319" customFormat="false" ht="15" hidden="false" customHeight="false" outlineLevel="0" collapsed="false">
      <c r="A319" s="6" t="str">
        <f aca="false">Sheet2_Cleaned_Data!A319</f>
        <v>STR-1079</v>
      </c>
      <c r="B319" s="6" t="str">
        <f aca="false">Sheet2_Cleaned_Data!B319</f>
        <v>2025-03-01</v>
      </c>
      <c r="C319" s="6" t="str">
        <f aca="false">Sheet2_Cleaned_Data!C319</f>
        <v>North</v>
      </c>
      <c r="D319" s="6" t="str">
        <f aca="false">Sheet2_Cleaned_Data!D319</f>
        <v>Residential</v>
      </c>
      <c r="E319" s="15" t="n">
        <f aca="false">Sheet2_Cleaned_Data!M319</f>
        <v>712375.77</v>
      </c>
      <c r="F319" s="16" t="n">
        <f aca="false">Sheet5_Multiple_Regression!$J$6+Sheet5_Multiple_Regression!$J$7*Sheet5_Multiple_Regression!A320+Sheet5_Multiple_Regression!$J$8*Sheet5_Multiple_Regression!B320+Sheet5_Multiple_Regression!$J$9*Sheet5_Multiple_Regression!C320+Sheet5_Multiple_Regression!$J$10*Sheet5_Multiple_Regression!D320+Sheet5_Multiple_Regression!$J$11*Sheet5_Multiple_Regression!E320+Sheet5_Multiple_Regression!$J$12*Sheet5_Multiple_Regression!F320+Sheet5_Multiple_Regression!$J$13*Sheet5_Multiple_Regression!G320</f>
        <v>684531.507292885</v>
      </c>
      <c r="G319" s="16" t="n">
        <f aca="false">E319-F319</f>
        <v>27844.2627071152</v>
      </c>
    </row>
    <row r="320" customFormat="false" ht="15" hidden="false" customHeight="false" outlineLevel="0" collapsed="false">
      <c r="A320" s="6" t="str">
        <f aca="false">Sheet2_Cleaned_Data!A320</f>
        <v>STR-1079</v>
      </c>
      <c r="B320" s="6" t="str">
        <f aca="false">Sheet2_Cleaned_Data!B320</f>
        <v>2025-04-01</v>
      </c>
      <c r="C320" s="6" t="str">
        <f aca="false">Sheet2_Cleaned_Data!C320</f>
        <v>North</v>
      </c>
      <c r="D320" s="6" t="str">
        <f aca="false">Sheet2_Cleaned_Data!D320</f>
        <v>Residential</v>
      </c>
      <c r="E320" s="15" t="n">
        <f aca="false">Sheet2_Cleaned_Data!M320</f>
        <v>844710.67</v>
      </c>
      <c r="F320" s="16" t="n">
        <f aca="false">Sheet5_Multiple_Regression!$J$6+Sheet5_Multiple_Regression!$J$7*Sheet5_Multiple_Regression!A321+Sheet5_Multiple_Regression!$J$8*Sheet5_Multiple_Regression!B321+Sheet5_Multiple_Regression!$J$9*Sheet5_Multiple_Regression!C321+Sheet5_Multiple_Regression!$J$10*Sheet5_Multiple_Regression!D321+Sheet5_Multiple_Regression!$J$11*Sheet5_Multiple_Regression!E321+Sheet5_Multiple_Regression!$J$12*Sheet5_Multiple_Regression!F321+Sheet5_Multiple_Regression!$J$13*Sheet5_Multiple_Regression!G321</f>
        <v>811175.034643042</v>
      </c>
      <c r="G320" s="16" t="n">
        <f aca="false">E320-F320</f>
        <v>33535.6353569584</v>
      </c>
    </row>
    <row r="321" customFormat="false" ht="15" hidden="false" customHeight="false" outlineLevel="0" collapsed="false">
      <c r="A321" s="6" t="str">
        <f aca="false">Sheet2_Cleaned_Data!A321</f>
        <v>STR-1080</v>
      </c>
      <c r="B321" s="6" t="str">
        <f aca="false">Sheet2_Cleaned_Data!B321</f>
        <v>2025-01-01</v>
      </c>
      <c r="C321" s="6" t="str">
        <f aca="false">Sheet2_Cleaned_Data!C321</f>
        <v>East</v>
      </c>
      <c r="D321" s="6" t="str">
        <f aca="false">Sheet2_Cleaned_Data!D321</f>
        <v>Residential</v>
      </c>
      <c r="E321" s="15" t="n">
        <f aca="false">Sheet2_Cleaned_Data!M321</f>
        <v>620264.2</v>
      </c>
      <c r="F321" s="16" t="n">
        <f aca="false">Sheet5_Multiple_Regression!$J$6+Sheet5_Multiple_Regression!$J$7*Sheet5_Multiple_Regression!A322+Sheet5_Multiple_Regression!$J$8*Sheet5_Multiple_Regression!B322+Sheet5_Multiple_Regression!$J$9*Sheet5_Multiple_Regression!C322+Sheet5_Multiple_Regression!$J$10*Sheet5_Multiple_Regression!D322+Sheet5_Multiple_Regression!$J$11*Sheet5_Multiple_Regression!E322+Sheet5_Multiple_Regression!$J$12*Sheet5_Multiple_Regression!F322+Sheet5_Multiple_Regression!$J$13*Sheet5_Multiple_Regression!G322</f>
        <v>668023.688191854</v>
      </c>
      <c r="G321" s="16" t="n">
        <f aca="false">E321-F321</f>
        <v>-47759.4881918542</v>
      </c>
    </row>
    <row r="322" customFormat="false" ht="15" hidden="false" customHeight="false" outlineLevel="0" collapsed="false">
      <c r="A322" s="6" t="str">
        <f aca="false">Sheet2_Cleaned_Data!A322</f>
        <v>STR-1080</v>
      </c>
      <c r="B322" s="6" t="str">
        <f aca="false">Sheet2_Cleaned_Data!B322</f>
        <v>2025-02-01</v>
      </c>
      <c r="C322" s="6" t="str">
        <f aca="false">Sheet2_Cleaned_Data!C322</f>
        <v>East</v>
      </c>
      <c r="D322" s="6" t="str">
        <f aca="false">Sheet2_Cleaned_Data!D322</f>
        <v>Residential</v>
      </c>
      <c r="E322" s="15" t="n">
        <f aca="false">Sheet2_Cleaned_Data!M322</f>
        <v>536845.42</v>
      </c>
      <c r="F322" s="16" t="n">
        <f aca="false">Sheet5_Multiple_Regression!$J$6+Sheet5_Multiple_Regression!$J$7*Sheet5_Multiple_Regression!A323+Sheet5_Multiple_Regression!$J$8*Sheet5_Multiple_Regression!B323+Sheet5_Multiple_Regression!$J$9*Sheet5_Multiple_Regression!C323+Sheet5_Multiple_Regression!$J$10*Sheet5_Multiple_Regression!D323+Sheet5_Multiple_Regression!$J$11*Sheet5_Multiple_Regression!E323+Sheet5_Multiple_Regression!$J$12*Sheet5_Multiple_Regression!F323+Sheet5_Multiple_Regression!$J$13*Sheet5_Multiple_Regression!G323</f>
        <v>529198.312679852</v>
      </c>
      <c r="G322" s="16" t="n">
        <f aca="false">E322-F322</f>
        <v>7647.10732014827</v>
      </c>
    </row>
    <row r="323" customFormat="false" ht="15" hidden="false" customHeight="false" outlineLevel="0" collapsed="false">
      <c r="A323" s="6" t="str">
        <f aca="false">Sheet2_Cleaned_Data!A323</f>
        <v>STR-1080</v>
      </c>
      <c r="B323" s="6" t="str">
        <f aca="false">Sheet2_Cleaned_Data!B323</f>
        <v>2025-03-01</v>
      </c>
      <c r="C323" s="6" t="str">
        <f aca="false">Sheet2_Cleaned_Data!C323</f>
        <v>East</v>
      </c>
      <c r="D323" s="6" t="str">
        <f aca="false">Sheet2_Cleaned_Data!D323</f>
        <v>Residential</v>
      </c>
      <c r="E323" s="15" t="n">
        <f aca="false">Sheet2_Cleaned_Data!M323</f>
        <v>726776.22</v>
      </c>
      <c r="F323" s="16" t="n">
        <f aca="false">Sheet5_Multiple_Regression!$J$6+Sheet5_Multiple_Regression!$J$7*Sheet5_Multiple_Regression!A324+Sheet5_Multiple_Regression!$J$8*Sheet5_Multiple_Regression!B324+Sheet5_Multiple_Regression!$J$9*Sheet5_Multiple_Regression!C324+Sheet5_Multiple_Regression!$J$10*Sheet5_Multiple_Regression!D324+Sheet5_Multiple_Regression!$J$11*Sheet5_Multiple_Regression!E324+Sheet5_Multiple_Regression!$J$12*Sheet5_Multiple_Regression!F324+Sheet5_Multiple_Regression!$J$13*Sheet5_Multiple_Regression!G324</f>
        <v>720569.326894029</v>
      </c>
      <c r="G323" s="16" t="n">
        <f aca="false">E323-F323</f>
        <v>6206.89310597105</v>
      </c>
    </row>
    <row r="324" customFormat="false" ht="15" hidden="false" customHeight="false" outlineLevel="0" collapsed="false">
      <c r="A324" s="6" t="str">
        <f aca="false">Sheet2_Cleaned_Data!A324</f>
        <v>STR-1080</v>
      </c>
      <c r="B324" s="6" t="str">
        <f aca="false">Sheet2_Cleaned_Data!B324</f>
        <v>2025-04-01</v>
      </c>
      <c r="C324" s="6" t="str">
        <f aca="false">Sheet2_Cleaned_Data!C324</f>
        <v>East</v>
      </c>
      <c r="D324" s="6" t="str">
        <f aca="false">Sheet2_Cleaned_Data!D324</f>
        <v>Residential</v>
      </c>
      <c r="E324" s="15" t="n">
        <f aca="false">Sheet2_Cleaned_Data!M324</f>
        <v>559660.84</v>
      </c>
      <c r="F324" s="16" t="n">
        <f aca="false">Sheet5_Multiple_Regression!$J$6+Sheet5_Multiple_Regression!$J$7*Sheet5_Multiple_Regression!A325+Sheet5_Multiple_Regression!$J$8*Sheet5_Multiple_Regression!B325+Sheet5_Multiple_Regression!$J$9*Sheet5_Multiple_Regression!C325+Sheet5_Multiple_Regression!$J$10*Sheet5_Multiple_Regression!D325+Sheet5_Multiple_Regression!$J$11*Sheet5_Multiple_Regression!E325+Sheet5_Multiple_Regression!$J$12*Sheet5_Multiple_Regression!F325+Sheet5_Multiple_Regression!$J$13*Sheet5_Multiple_Regression!G325</f>
        <v>589874.668502618</v>
      </c>
      <c r="G324" s="16" t="n">
        <f aca="false">E324-F324</f>
        <v>-30213.8285026175</v>
      </c>
    </row>
  </sheetData>
  <mergeCells count="3">
    <mergeCell ref="A2:H2"/>
    <mergeCell ref="I4:M4"/>
    <mergeCell ref="I12:M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0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40"/>
  </cols>
  <sheetData>
    <row r="1" customFormat="false" ht="16.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3" t="s">
        <v>149</v>
      </c>
      <c r="B3" s="3" t="s">
        <v>150</v>
      </c>
      <c r="C3" s="3" t="s">
        <v>121</v>
      </c>
      <c r="D3" s="3" t="s">
        <v>151</v>
      </c>
      <c r="E3" s="3" t="s">
        <v>152</v>
      </c>
    </row>
    <row r="4" customFormat="false" ht="15" hidden="false" customHeight="false" outlineLevel="0" collapsed="false">
      <c r="A4" s="4" t="s">
        <v>153</v>
      </c>
      <c r="B4" s="4" t="s">
        <v>5</v>
      </c>
      <c r="C4" s="18" t="n">
        <f aca="false">Sheet4_Simple_Regression!B7</f>
        <v>0.16724469112487</v>
      </c>
      <c r="D4" s="18" t="n">
        <f aca="false">Sheet4_Simple_Regression!B9</f>
        <v>2.480061510136E-014</v>
      </c>
      <c r="E4" s="4" t="str">
        <f aca="false">IF(D4&lt;0.05,"Yes","No")</f>
        <v>Yes</v>
      </c>
    </row>
    <row r="5" customFormat="false" ht="15" hidden="false" customHeight="false" outlineLevel="0" collapsed="false">
      <c r="A5" s="4" t="s">
        <v>154</v>
      </c>
      <c r="B5" s="4" t="s">
        <v>6</v>
      </c>
      <c r="C5" s="18" t="n">
        <f aca="false">Sheet4_Simple_Regression!B15</f>
        <v>0.736285340003311</v>
      </c>
      <c r="D5" s="18" t="n">
        <f aca="false">Sheet4_Simple_Regression!B17</f>
        <v>4.75036150900558E-094</v>
      </c>
      <c r="E5" s="4" t="str">
        <f aca="false">IF(D5&lt;0.05,"Yes","No")</f>
        <v>Yes</v>
      </c>
    </row>
    <row r="6" customFormat="false" ht="15" hidden="false" customHeight="false" outlineLevel="0" collapsed="false">
      <c r="A6" s="4" t="s">
        <v>155</v>
      </c>
      <c r="B6" s="4" t="s">
        <v>7</v>
      </c>
      <c r="C6" s="18" t="n">
        <f aca="false">Sheet4_Simple_Regression!B23</f>
        <v>0.00829050302440034</v>
      </c>
      <c r="D6" s="18" t="n">
        <f aca="false">Sheet4_Simple_Regression!B25</f>
        <v>0.103993046419031</v>
      </c>
      <c r="E6" s="4" t="str">
        <f aca="false">IF(D6&lt;0.05,"Yes","No")</f>
        <v>No</v>
      </c>
    </row>
    <row r="7" customFormat="false" ht="15" hidden="false" customHeight="false" outlineLevel="0" collapsed="false">
      <c r="A7" s="4" t="s">
        <v>156</v>
      </c>
      <c r="B7" s="4" t="s">
        <v>9</v>
      </c>
      <c r="C7" s="18" t="n">
        <f aca="false">Sheet4_Simple_Regression!B31</f>
        <v>0.0131150159644044</v>
      </c>
      <c r="D7" s="18" t="n">
        <f aca="false">Sheet4_Simple_Regression!B33</f>
        <v>0.0406252966301654</v>
      </c>
      <c r="E7" s="4" t="str">
        <f aca="false">IF(D7&lt;0.05,"Yes","No")</f>
        <v>Yes</v>
      </c>
    </row>
    <row r="8" customFormat="false" ht="15" hidden="false" customHeight="false" outlineLevel="0" collapsed="false">
      <c r="A8" s="4" t="s">
        <v>157</v>
      </c>
      <c r="B8" s="4" t="s">
        <v>158</v>
      </c>
      <c r="C8" s="18" t="n">
        <f aca="false">Sheet4_Simple_Regression!B39</f>
        <v>0.000698452655965146</v>
      </c>
      <c r="D8" s="18" t="n">
        <f aca="false">Sheet4_Simple_Regression!B41</f>
        <v>0.637644151039515</v>
      </c>
      <c r="E8" s="4" t="str">
        <f aca="false">IF(D8&lt;0.05,"Yes","No")</f>
        <v>No</v>
      </c>
    </row>
    <row r="9" customFormat="false" ht="15" hidden="false" customHeight="false" outlineLevel="0" collapsed="false">
      <c r="A9" s="4" t="s">
        <v>159</v>
      </c>
      <c r="B9" s="4" t="s">
        <v>160</v>
      </c>
      <c r="C9" s="18" t="n">
        <f aca="false">Sheet5_Multiple_Regression!J15</f>
        <v>0.82139227683729</v>
      </c>
      <c r="D9" s="4" t="s">
        <v>161</v>
      </c>
      <c r="E9" s="4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2026-06-28T17:44:42Z</dcterms:created>
  <dc:creator>openpyxl</dc:creator>
  <dc:description/>
  <dc:language>en-US</dc:language>
  <cp:lastModifiedBy/>
  <dcterms:modified xsi:type="dcterms:W3CDTF">2026-06-28T17:44:42Z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